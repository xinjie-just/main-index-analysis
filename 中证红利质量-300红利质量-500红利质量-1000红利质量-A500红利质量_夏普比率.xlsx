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43" firstSheet="1" activeTab="4"/>
  </bookViews>
  <sheets>
    <sheet name="中证红利质量" sheetId="5" r:id="rId1"/>
    <sheet name="300红利质量" sheetId="6" r:id="rId2"/>
    <sheet name="500红利质量" sheetId="8" r:id="rId3"/>
    <sheet name="1000红利质量" sheetId="9" r:id="rId4"/>
    <sheet name="A500红利质量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<sst xmlns="http://schemas.openxmlformats.org/spreadsheetml/2006/main" count="50" uniqueCount="18">
  <si>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</si>
  <si>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</si>
  <si>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</si>
  <si>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</si>
  <si>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</si>
  <si>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</si>
  <si>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</si>
  <si>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</si>
  <si>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中证全指红利质量指数</t>
  </si>
  <si>
    <t>中证红利质量</t>
  </si>
  <si>
    <t>沪深300红利质量指数</t>
  </si>
  <si>
    <t>300红利质量</t>
  </si>
  <si>
    <t>中证500红利质量指数</t>
  </si>
  <si>
    <t>500红利质量</t>
  </si>
  <si>
    <t>中证1000红利质量指数</t>
  </si>
  <si>
    <t>1000红利质量</t>
  </si>
  <si>
    <t>中证A500红利质量指数</t>
  </si>
  <si>
    <t>A500红利质量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</si>
</sst>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10" fontId="1" fillId="0" borderId="0" xfId="0" applyNumberFormat="1" applyFont="1" applyFill="1" applyAlignment="1">
      <alignment horizontal="left" vertical="center"/>
    </xf>
    <xf numFmtId="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F2" sqref="F2:F13"/>
    </sheetView>
  </sheetViews>
  <sheetFormatPr defaultColWidth="9" defaultRowHeight="13.5" outlineLevelCol="7"/>
  <cols>
    <col min="1" max="1" width="9.24778761061947" style="1" customWidth="1"/>
    <col min="2" max="2" width="22.0796460176991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1">
        <v>932315</v>
      </c>
      <c r="B2" s="1" t="s">
        <v>8</v>
      </c>
      <c r="C2" s="1" t="s">
        <v>9</v>
      </c>
      <c r="D2" s="1">
        <v>2014</v>
      </c>
      <c r="E2" s="3">
        <v>0.3791</v>
      </c>
      <c r="F2" s="3">
        <v>0.1785</v>
      </c>
      <c r="G2" s="4">
        <v>0.03</v>
      </c>
      <c r="H2" s="2">
        <f t="shared" ref="H2:H13" si="0">(E2-G2)/F2</f>
        <v>1.95574229691877</v>
      </c>
    </row>
    <row r="3" spans="1:8">
      <c r="D3" s="1">
        <v>2015</v>
      </c>
      <c r="E3" s="3">
        <v>0.2368</v>
      </c>
      <c r="F3" s="3">
        <v>0.3939</v>
      </c>
      <c r="G3" s="4">
        <v>0.03</v>
      </c>
      <c r="H3" s="2">
        <f t="shared" si="0"/>
        <v>0.525006346788525</v>
      </c>
    </row>
    <row r="4" spans="1:8">
      <c r="D4" s="1">
        <v>2016</v>
      </c>
      <c r="E4" s="3">
        <v>0.0212</v>
      </c>
      <c r="F4" s="3">
        <v>0.2016</v>
      </c>
      <c r="G4" s="4">
        <v>0.03</v>
      </c>
      <c r="H4" s="2">
        <f t="shared" si="0"/>
        <v>-0.0436507936507936</v>
      </c>
    </row>
    <row r="5" spans="1:8">
      <c r="D5" s="1">
        <v>2017</v>
      </c>
      <c r="E5" s="3">
        <v>0.4617</v>
      </c>
      <c r="F5" s="3">
        <v>0.1309</v>
      </c>
      <c r="G5" s="4">
        <v>0.03</v>
      </c>
      <c r="H5" s="2">
        <f t="shared" si="0"/>
        <v>3.29793735676089</v>
      </c>
    </row>
    <row r="6" spans="1:8">
      <c r="D6" s="1">
        <v>2018</v>
      </c>
      <c r="E6" s="3">
        <v>-0.1982</v>
      </c>
      <c r="F6" s="3">
        <v>0.2475</v>
      </c>
      <c r="G6" s="4">
        <v>0.03</v>
      </c>
      <c r="H6" s="2">
        <f t="shared" si="0"/>
        <v>-0.922020202020202</v>
      </c>
    </row>
    <row r="7" spans="1:8">
      <c r="D7" s="1">
        <v>2019</v>
      </c>
      <c r="E7" s="3">
        <v>0.3348</v>
      </c>
      <c r="F7" s="3">
        <v>0.1797</v>
      </c>
      <c r="G7" s="4">
        <v>0.03</v>
      </c>
      <c r="H7" s="2">
        <f t="shared" si="0"/>
        <v>1.69616026711185</v>
      </c>
    </row>
    <row r="8" spans="1:8">
      <c r="D8" s="1">
        <v>2020</v>
      </c>
      <c r="E8" s="3">
        <v>0.3319</v>
      </c>
      <c r="F8" s="3">
        <v>0.2321</v>
      </c>
      <c r="G8" s="4">
        <v>0.03</v>
      </c>
      <c r="H8" s="2">
        <f t="shared" si="0"/>
        <v>1.30073244291254</v>
      </c>
    </row>
    <row r="9" spans="1:8">
      <c r="D9" s="1">
        <v>2021</v>
      </c>
      <c r="E9" s="3">
        <v>0.0727</v>
      </c>
      <c r="F9" s="3">
        <v>0.1796</v>
      </c>
      <c r="G9" s="4">
        <v>0.03</v>
      </c>
      <c r="H9" s="2">
        <f t="shared" si="0"/>
        <v>0.237750556792873</v>
      </c>
    </row>
    <row r="10" spans="1:8">
      <c r="D10" s="1">
        <v>2022</v>
      </c>
      <c r="E10" s="3">
        <v>-0.1031</v>
      </c>
      <c r="F10" s="3">
        <v>0.2117</v>
      </c>
      <c r="G10" s="4">
        <v>0.03</v>
      </c>
      <c r="H10" s="2">
        <f t="shared" si="0"/>
        <v>-0.628719886632026</v>
      </c>
    </row>
    <row r="11" spans="1:8">
      <c r="D11" s="1">
        <v>2023</v>
      </c>
      <c r="E11" s="3">
        <v>-0.0517</v>
      </c>
      <c r="F11" s="3">
        <v>0.1203</v>
      </c>
      <c r="G11" s="4">
        <v>0.03</v>
      </c>
      <c r="H11" s="2">
        <f t="shared" si="0"/>
        <v>-0.679135494596841</v>
      </c>
    </row>
    <row r="12" spans="1:8">
      <c r="D12" s="1">
        <v>2024</v>
      </c>
      <c r="E12" s="3">
        <v>0.1761</v>
      </c>
      <c r="F12" s="3">
        <v>0.2088</v>
      </c>
      <c r="G12" s="4">
        <v>0.03</v>
      </c>
      <c r="H12" s="2">
        <f t="shared" si="0"/>
        <v>0.699712643678161</v>
      </c>
    </row>
    <row r="13" spans="1:8">
      <c r="D13" s="1">
        <v>2025</v>
      </c>
      <c r="E13" s="3">
        <v>0.1591</v>
      </c>
      <c r="F13" s="3">
        <v>0.1463</v>
      </c>
      <c r="G13" s="4">
        <v>0.03</v>
      </c>
      <c r="H13" s="2">
        <f t="shared" si="0"/>
        <v>0.882433356117566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F2" sqref="F2:F13"/>
    </sheetView>
  </sheetViews>
  <sheetFormatPr defaultColWidth="9.02654867256637" defaultRowHeight="13.5" outlineLevelCol="7"/>
  <cols>
    <col min="1" max="1" width="9.24778761061947" style="1" customWidth="1"/>
    <col min="2" max="2" width="21.1592920353982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1">
        <v>932316</v>
      </c>
      <c r="B2" s="1" t="s">
        <v>10</v>
      </c>
      <c r="C2" s="1" t="s">
        <v>11</v>
      </c>
      <c r="D2" s="1">
        <v>2014</v>
      </c>
      <c r="E2" s="3">
        <v>0.4779</v>
      </c>
      <c r="F2" s="3">
        <v>0.1855</v>
      </c>
      <c r="G2" s="4">
        <v>0.03</v>
      </c>
      <c r="H2" s="2">
        <f>(E2-G2)/F2</f>
        <v>2.41455525606469</v>
      </c>
    </row>
    <row r="3" spans="1:8">
      <c r="D3" s="1">
        <v>2015</v>
      </c>
      <c r="E3" s="3">
        <v>0.1102</v>
      </c>
      <c r="F3" s="3">
        <v>0.3625</v>
      </c>
      <c r="G3" s="4">
        <v>0.03</v>
      </c>
      <c r="H3" s="2">
        <f t="shared" ref="H2:H13" si="0">(E3-G3)/F3</f>
        <v>0.221241379310345</v>
      </c>
    </row>
    <row r="4" spans="1:8">
      <c r="D4" s="1">
        <v>2016</v>
      </c>
      <c r="E4" s="3">
        <v>0.0177</v>
      </c>
      <c r="F4" s="3">
        <v>0.1779</v>
      </c>
      <c r="G4" s="4">
        <v>0.03</v>
      </c>
      <c r="H4" s="2">
        <f t="shared" si="0"/>
        <v>-0.0691399662731872</v>
      </c>
    </row>
    <row r="5" spans="1:8">
      <c r="D5" s="1">
        <v>2017</v>
      </c>
      <c r="E5" s="3">
        <v>0.5259</v>
      </c>
      <c r="F5" s="3">
        <v>0.1366</v>
      </c>
      <c r="G5" s="4">
        <v>0.03</v>
      </c>
      <c r="H5" s="2">
        <f t="shared" si="0"/>
        <v>3.6303074670571</v>
      </c>
    </row>
    <row r="6" spans="1:8">
      <c r="D6" s="1">
        <v>2018</v>
      </c>
      <c r="E6" s="3">
        <v>-0.1783</v>
      </c>
      <c r="F6" s="3">
        <v>0.2338</v>
      </c>
      <c r="G6" s="4">
        <v>0.03</v>
      </c>
      <c r="H6" s="2">
        <f t="shared" si="0"/>
        <v>-0.890932420872541</v>
      </c>
    </row>
    <row r="7" spans="1:8">
      <c r="D7" s="1">
        <v>2019</v>
      </c>
      <c r="E7" s="3">
        <v>0.4027</v>
      </c>
      <c r="F7" s="3">
        <v>0.1818</v>
      </c>
      <c r="G7" s="4">
        <v>0.03</v>
      </c>
      <c r="H7" s="2">
        <f t="shared" si="0"/>
        <v>2.05005500550055</v>
      </c>
    </row>
    <row r="8" spans="1:8">
      <c r="D8" s="1">
        <v>2020</v>
      </c>
      <c r="E8" s="3">
        <v>0.2595</v>
      </c>
      <c r="F8" s="3">
        <v>0.2146</v>
      </c>
      <c r="G8" s="4">
        <v>0.03</v>
      </c>
      <c r="H8" s="2">
        <f t="shared" si="0"/>
        <v>1.06943150046598</v>
      </c>
    </row>
    <row r="9" spans="1:8">
      <c r="D9" s="1">
        <v>2021</v>
      </c>
      <c r="E9" s="3">
        <v>-0.0931</v>
      </c>
      <c r="F9" s="3">
        <v>0.1889</v>
      </c>
      <c r="G9" s="4">
        <v>0.03</v>
      </c>
      <c r="H9" s="2">
        <f t="shared" si="0"/>
        <v>-0.651667548967708</v>
      </c>
    </row>
    <row r="10" spans="1:8">
      <c r="D10" s="1">
        <v>2022</v>
      </c>
      <c r="E10" s="3">
        <v>-0.1331</v>
      </c>
      <c r="F10" s="3">
        <v>0.2018</v>
      </c>
      <c r="G10" s="4">
        <v>0.03</v>
      </c>
      <c r="H10" s="2">
        <f t="shared" si="0"/>
        <v>-0.80822596630327</v>
      </c>
    </row>
    <row r="11" spans="1:8">
      <c r="D11" s="1">
        <v>2023</v>
      </c>
      <c r="E11" s="3">
        <v>-0.0455</v>
      </c>
      <c r="F11" s="3">
        <v>0.1367</v>
      </c>
      <c r="G11" s="4">
        <v>0.03</v>
      </c>
      <c r="H11" s="2">
        <f t="shared" si="0"/>
        <v>-0.552304316020483</v>
      </c>
    </row>
    <row r="12" spans="1:8">
      <c r="D12" s="1">
        <v>2024</v>
      </c>
      <c r="E12" s="3">
        <v>0.2504</v>
      </c>
      <c r="F12" s="3">
        <v>0.1766</v>
      </c>
      <c r="G12" s="4">
        <v>0.03</v>
      </c>
      <c r="H12" s="2">
        <f t="shared" si="0"/>
        <v>1.2480181200453</v>
      </c>
    </row>
    <row r="13" spans="1:8">
      <c r="D13" s="1">
        <v>2025</v>
      </c>
      <c r="E13" s="3">
        <v>0.0472</v>
      </c>
      <c r="F13" s="3">
        <v>0.1148</v>
      </c>
      <c r="G13" s="4">
        <v>0.03</v>
      </c>
      <c r="H13" s="2">
        <f t="shared" si="0"/>
        <v>0.149825783972125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F2" sqref="F2:F13"/>
    </sheetView>
  </sheetViews>
  <sheetFormatPr defaultColWidth="9.02654867256637" defaultRowHeight="13.5" outlineLevelCol="7"/>
  <cols>
    <col min="1" max="1" width="9.24778761061947" style="1" customWidth="1"/>
    <col min="2" max="2" width="21.1592920353982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1">
        <v>932317</v>
      </c>
      <c r="B2" s="1" t="s">
        <v>12</v>
      </c>
      <c r="C2" s="1" t="s">
        <v>13</v>
      </c>
      <c r="D2" s="1">
        <v>2014</v>
      </c>
      <c r="E2" s="3">
        <v>0.3638</v>
      </c>
      <c r="F2" s="3">
        <v>0.2113</v>
      </c>
      <c r="G2" s="4">
        <v>0.03</v>
      </c>
      <c r="H2" s="2">
        <f t="shared" ref="H2:H13" si="0">(E2-G2)/F2</f>
        <v>1.57974443918599</v>
      </c>
    </row>
    <row r="3" spans="1:8">
      <c r="D3" s="1">
        <v>2015</v>
      </c>
      <c r="E3" s="3">
        <v>0.5069</v>
      </c>
      <c r="F3" s="3">
        <v>0.4478</v>
      </c>
      <c r="G3" s="4">
        <v>0.03</v>
      </c>
      <c r="H3" s="2">
        <f t="shared" si="0"/>
        <v>1.06498436802144</v>
      </c>
    </row>
    <row r="4" spans="1:8">
      <c r="D4" s="1">
        <v>2016</v>
      </c>
      <c r="E4" s="3">
        <v>-0.1124</v>
      </c>
      <c r="F4" s="3">
        <v>0.2734</v>
      </c>
      <c r="G4" s="4">
        <v>0.03</v>
      </c>
      <c r="H4" s="2">
        <f t="shared" si="0"/>
        <v>-0.520848573518654</v>
      </c>
    </row>
    <row r="5" spans="1:8">
      <c r="D5" s="1">
        <v>2017</v>
      </c>
      <c r="E5" s="3">
        <v>0.2884</v>
      </c>
      <c r="F5" s="3">
        <v>0.158</v>
      </c>
      <c r="G5" s="4">
        <v>0.03</v>
      </c>
      <c r="H5" s="2">
        <f t="shared" si="0"/>
        <v>1.63544303797468</v>
      </c>
    </row>
    <row r="6" spans="1:8">
      <c r="D6" s="1">
        <v>2018</v>
      </c>
      <c r="E6" s="3">
        <v>-0.2426</v>
      </c>
      <c r="F6" s="3">
        <v>0.2575</v>
      </c>
      <c r="G6" s="4">
        <v>0.03</v>
      </c>
      <c r="H6" s="2">
        <f t="shared" si="0"/>
        <v>-1.05864077669903</v>
      </c>
    </row>
    <row r="7" spans="1:8">
      <c r="D7" s="1">
        <v>2019</v>
      </c>
      <c r="E7" s="3">
        <v>0.3413</v>
      </c>
      <c r="F7" s="3">
        <v>0.2183</v>
      </c>
      <c r="G7" s="4">
        <v>0.03</v>
      </c>
      <c r="H7" s="2">
        <f t="shared" si="0"/>
        <v>1.42601923957856</v>
      </c>
    </row>
    <row r="8" spans="1:8">
      <c r="D8" s="1">
        <v>2020</v>
      </c>
      <c r="E8" s="3">
        <v>0.1468</v>
      </c>
      <c r="F8" s="3">
        <v>0.2428</v>
      </c>
      <c r="G8" s="4">
        <v>0.03</v>
      </c>
      <c r="H8" s="2">
        <f t="shared" si="0"/>
        <v>0.481054365733114</v>
      </c>
    </row>
    <row r="9" spans="1:8">
      <c r="D9" s="1">
        <v>2021</v>
      </c>
      <c r="E9" s="3">
        <v>0.1407</v>
      </c>
      <c r="F9" s="3">
        <v>0.1629</v>
      </c>
      <c r="G9" s="4">
        <v>0.03</v>
      </c>
      <c r="H9" s="2">
        <f t="shared" si="0"/>
        <v>0.679558011049724</v>
      </c>
    </row>
    <row r="10" spans="1:8">
      <c r="D10" s="1">
        <v>2022</v>
      </c>
      <c r="E10" s="3">
        <v>-0.1441</v>
      </c>
      <c r="F10" s="3">
        <v>0.2049</v>
      </c>
      <c r="G10" s="4">
        <v>0.03</v>
      </c>
      <c r="H10" s="2">
        <f t="shared" si="0"/>
        <v>-0.849682772083943</v>
      </c>
    </row>
    <row r="11" spans="1:8">
      <c r="D11" s="1">
        <v>2023</v>
      </c>
      <c r="E11" s="3">
        <v>0.0501</v>
      </c>
      <c r="F11" s="3">
        <v>0.1113</v>
      </c>
      <c r="G11" s="4">
        <v>0.03</v>
      </c>
      <c r="H11" s="2">
        <f t="shared" si="0"/>
        <v>0.180592991913747</v>
      </c>
    </row>
    <row r="12" spans="1:8">
      <c r="D12" s="1">
        <v>2024</v>
      </c>
      <c r="E12" s="3">
        <v>0.1015</v>
      </c>
      <c r="F12" s="3">
        <v>0.2121</v>
      </c>
      <c r="G12" s="4">
        <v>0.03</v>
      </c>
      <c r="H12" s="2">
        <f t="shared" si="0"/>
        <v>0.337105139085337</v>
      </c>
    </row>
    <row r="13" spans="1:8">
      <c r="D13" s="1">
        <v>2025</v>
      </c>
      <c r="E13" s="3">
        <v>0.179</v>
      </c>
      <c r="F13" s="3">
        <v>0.151</v>
      </c>
      <c r="G13" s="4">
        <v>0.03</v>
      </c>
      <c r="H13" s="2">
        <f t="shared" si="0"/>
        <v>0.986754966887417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F2" sqref="F2:F13"/>
    </sheetView>
  </sheetViews>
  <sheetFormatPr defaultColWidth="9.02654867256637" defaultRowHeight="13.5" outlineLevelCol="7"/>
  <cols>
    <col min="1" max="1" width="9.24778761061947" style="1" customWidth="1"/>
    <col min="2" max="2" width="22.2212389380531" style="1" customWidth="1"/>
    <col min="3" max="3" width="13.646017699115" style="1" customWidth="1"/>
    <col min="4" max="4" width="5.53097345132743" style="1" customWidth="1"/>
    <col min="5" max="7" width="11.3097345132743" style="1" customWidth="1"/>
    <col min="8" max="8" width="13.4336283185841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1">
        <v>932319</v>
      </c>
      <c r="B2" s="1" t="s">
        <v>14</v>
      </c>
      <c r="C2" s="1" t="s">
        <v>15</v>
      </c>
      <c r="D2" s="1">
        <v>2014</v>
      </c>
      <c r="E2" s="3">
        <v>0.3104</v>
      </c>
      <c r="F2" s="3">
        <v>0.2166</v>
      </c>
      <c r="G2" s="4">
        <v>0.03</v>
      </c>
      <c r="H2" s="2">
        <f t="shared" ref="H2:H13" si="0">(E2-G2)/F2</f>
        <v>1.29455216989843</v>
      </c>
    </row>
    <row r="3" spans="1:8">
      <c r="D3" s="1">
        <v>2015</v>
      </c>
      <c r="E3" s="3">
        <v>0.7595</v>
      </c>
      <c r="F3" s="3">
        <v>0.4871</v>
      </c>
      <c r="G3" s="4">
        <v>0.03</v>
      </c>
      <c r="H3" s="2">
        <f t="shared" si="0"/>
        <v>1.49763908848286</v>
      </c>
    </row>
    <row r="4" spans="1:8">
      <c r="D4" s="1">
        <v>2016</v>
      </c>
      <c r="E4" s="3">
        <v>-0.1146</v>
      </c>
      <c r="F4" s="3">
        <v>0.3143</v>
      </c>
      <c r="G4" s="4">
        <v>0.03</v>
      </c>
      <c r="H4" s="2">
        <f t="shared" si="0"/>
        <v>-0.460069996818326</v>
      </c>
    </row>
    <row r="5" spans="1:8">
      <c r="D5" s="1">
        <v>2017</v>
      </c>
      <c r="E5" s="3">
        <v>-0.0599</v>
      </c>
      <c r="F5" s="3">
        <v>0.1456</v>
      </c>
      <c r="G5" s="4">
        <v>0.03</v>
      </c>
      <c r="H5" s="2">
        <f t="shared" si="0"/>
        <v>-0.617445054945055</v>
      </c>
    </row>
    <row r="6" spans="1:8">
      <c r="D6" s="1">
        <v>2018</v>
      </c>
      <c r="E6" s="3">
        <v>-0.2743</v>
      </c>
      <c r="F6" s="3">
        <v>0.2383</v>
      </c>
      <c r="G6" s="4">
        <v>0.03</v>
      </c>
      <c r="H6" s="2">
        <f t="shared" si="0"/>
        <v>-1.27696181284096</v>
      </c>
    </row>
    <row r="7" spans="1:8">
      <c r="D7" s="1">
        <v>2019</v>
      </c>
      <c r="E7" s="3">
        <v>0.3323</v>
      </c>
      <c r="F7" s="3">
        <v>0.2135</v>
      </c>
      <c r="G7" s="4">
        <v>0.03</v>
      </c>
      <c r="H7" s="2">
        <f t="shared" si="0"/>
        <v>1.41592505854801</v>
      </c>
    </row>
    <row r="8" spans="1:8">
      <c r="D8" s="1">
        <v>2020</v>
      </c>
      <c r="E8" s="3">
        <v>0.3048</v>
      </c>
      <c r="F8" s="3">
        <v>0.2535</v>
      </c>
      <c r="G8" s="4">
        <v>0.03</v>
      </c>
      <c r="H8" s="2">
        <f t="shared" si="0"/>
        <v>1.08402366863905</v>
      </c>
    </row>
    <row r="9" spans="1:8">
      <c r="D9" s="1">
        <v>2021</v>
      </c>
      <c r="E9" s="3">
        <v>0.2982</v>
      </c>
      <c r="F9" s="3">
        <v>0.2013</v>
      </c>
      <c r="G9" s="4">
        <v>0.03</v>
      </c>
      <c r="H9" s="2">
        <f t="shared" si="0"/>
        <v>1.33233979135618</v>
      </c>
    </row>
    <row r="10" spans="1:8">
      <c r="D10" s="1">
        <v>2022</v>
      </c>
      <c r="E10" s="3">
        <v>-0.1716</v>
      </c>
      <c r="F10" s="3">
        <v>0.2327</v>
      </c>
      <c r="G10" s="4">
        <v>0.03</v>
      </c>
      <c r="H10" s="2">
        <f t="shared" si="0"/>
        <v>-0.866351525569403</v>
      </c>
    </row>
    <row r="11" spans="1:8">
      <c r="D11" s="1">
        <v>2023</v>
      </c>
      <c r="E11" s="3">
        <v>0.0375</v>
      </c>
      <c r="F11" s="3">
        <v>0.129</v>
      </c>
      <c r="G11" s="4">
        <v>0.03</v>
      </c>
      <c r="H11" s="2">
        <f t="shared" si="0"/>
        <v>0.0581395348837209</v>
      </c>
    </row>
    <row r="12" spans="1:8">
      <c r="D12" s="1">
        <v>2024</v>
      </c>
      <c r="E12" s="3">
        <v>0.1045</v>
      </c>
      <c r="F12" s="3">
        <v>0.2389</v>
      </c>
      <c r="G12" s="4">
        <v>0.03</v>
      </c>
      <c r="H12" s="2">
        <f t="shared" si="0"/>
        <v>0.311845960652993</v>
      </c>
    </row>
    <row r="13" spans="1:8">
      <c r="D13" s="1">
        <v>2025</v>
      </c>
      <c r="E13" s="3">
        <v>0.1606</v>
      </c>
      <c r="F13" s="3">
        <v>0.1569</v>
      </c>
      <c r="G13" s="4">
        <v>0.03</v>
      </c>
      <c r="H13" s="2">
        <f t="shared" si="0"/>
        <v>0.832377310388783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G26" sqref="G26"/>
    </sheetView>
  </sheetViews>
  <sheetFormatPr defaultColWidth="9.02654867256637" defaultRowHeight="13.5" outlineLevelCol="7"/>
  <cols>
    <col min="1" max="1" width="9.24778761061947" style="1" customWidth="1"/>
    <col min="2" max="2" width="22.2212389380531" style="1" customWidth="1"/>
    <col min="3" max="3" width="13.646017699115" style="1" customWidth="1"/>
    <col min="4" max="4" width="5.53097345132743" style="1" customWidth="1"/>
    <col min="5" max="7" width="11.3097345132743" style="1" customWidth="1"/>
    <col min="8" max="8" width="13.4336283185841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1">
        <v>932476</v>
      </c>
      <c r="B2" s="1" t="s">
        <v>16</v>
      </c>
      <c r="C2" s="1" t="s">
        <v>17</v>
      </c>
      <c r="D2" s="1">
        <v>2014</v>
      </c>
      <c r="E2" s="3">
        <v>0.4681</v>
      </c>
      <c r="F2" s="3">
        <v>0.177</v>
      </c>
      <c r="G2" s="4">
        <v>0.03</v>
      </c>
      <c r="H2" s="2">
        <f>(E2-G2)/F2</f>
        <v>2.47514124293785</v>
      </c>
    </row>
    <row r="3" spans="1:8">
      <c r="D3" s="1">
        <v>2015</v>
      </c>
      <c r="E3" s="3">
        <v>0.0662</v>
      </c>
      <c r="F3" s="3">
        <v>0.3769</v>
      </c>
      <c r="G3" s="4">
        <v>0.03</v>
      </c>
      <c r="H3" s="2">
        <f t="shared" ref="H3:H13" si="0">(E3-G3)/F3</f>
        <v>0.0960466967365349</v>
      </c>
    </row>
    <row r="4" spans="1:8">
      <c r="D4" s="1">
        <v>2016</v>
      </c>
      <c r="E4" s="3">
        <v>0.0177</v>
      </c>
      <c r="F4" s="3">
        <v>0.1746</v>
      </c>
      <c r="G4" s="4">
        <v>0.03</v>
      </c>
      <c r="H4" s="2">
        <f t="shared" si="0"/>
        <v>-0.070446735395189</v>
      </c>
    </row>
    <row r="5" spans="1:8">
      <c r="D5" s="1">
        <v>2017</v>
      </c>
      <c r="E5" s="3">
        <v>0.4954</v>
      </c>
      <c r="F5" s="3">
        <v>0.1262</v>
      </c>
      <c r="G5" s="4">
        <v>0.03</v>
      </c>
      <c r="H5" s="2">
        <f t="shared" si="0"/>
        <v>3.6877971473851</v>
      </c>
    </row>
    <row r="6" spans="1:8">
      <c r="D6" s="1">
        <v>2018</v>
      </c>
      <c r="E6" s="3">
        <v>-0.1911</v>
      </c>
      <c r="F6" s="3">
        <v>0.2379</v>
      </c>
      <c r="G6" s="4">
        <v>0.03</v>
      </c>
      <c r="H6" s="2">
        <f t="shared" si="0"/>
        <v>-0.92938209331652</v>
      </c>
    </row>
    <row r="7" spans="1:8">
      <c r="D7" s="1">
        <v>2019</v>
      </c>
      <c r="E7" s="3">
        <v>0.3853</v>
      </c>
      <c r="F7" s="3">
        <v>0.1854</v>
      </c>
      <c r="G7" s="4">
        <v>0.03</v>
      </c>
      <c r="H7" s="2">
        <f t="shared" si="0"/>
        <v>1.91639697950378</v>
      </c>
    </row>
    <row r="8" spans="1:8">
      <c r="D8" s="1">
        <v>2020</v>
      </c>
      <c r="E8" s="3">
        <v>0.2021</v>
      </c>
      <c r="F8" s="3">
        <v>0.2098</v>
      </c>
      <c r="G8" s="4">
        <v>0.03</v>
      </c>
      <c r="H8" s="2">
        <f t="shared" si="0"/>
        <v>0.820305052430886</v>
      </c>
    </row>
    <row r="9" spans="1:8">
      <c r="D9" s="1">
        <v>2021</v>
      </c>
      <c r="E9" s="3">
        <v>-0.0589</v>
      </c>
      <c r="F9" s="3">
        <v>0.1731</v>
      </c>
      <c r="G9" s="4">
        <v>0.03</v>
      </c>
      <c r="H9" s="2">
        <f t="shared" si="0"/>
        <v>-0.513575967648758</v>
      </c>
    </row>
    <row r="10" spans="1:8">
      <c r="D10" s="1">
        <v>2022</v>
      </c>
      <c r="E10" s="3">
        <v>-0.1411</v>
      </c>
      <c r="F10" s="3">
        <v>0.1995</v>
      </c>
      <c r="G10" s="4">
        <v>0.03</v>
      </c>
      <c r="H10" s="2">
        <f t="shared" si="0"/>
        <v>-0.857644110275689</v>
      </c>
    </row>
    <row r="11" spans="1:8">
      <c r="D11" s="1">
        <v>2023</v>
      </c>
      <c r="E11" s="3">
        <v>-0.0263</v>
      </c>
      <c r="F11" s="3">
        <v>0.1282</v>
      </c>
      <c r="G11" s="4">
        <v>0.03</v>
      </c>
      <c r="H11" s="2">
        <f t="shared" si="0"/>
        <v>-0.439157566302652</v>
      </c>
    </row>
    <row r="12" spans="1:8">
      <c r="D12" s="1">
        <v>2024</v>
      </c>
      <c r="E12" s="3">
        <v>0.1681</v>
      </c>
      <c r="F12" s="3">
        <v>0.1858</v>
      </c>
      <c r="G12" s="4">
        <v>0.03</v>
      </c>
      <c r="H12" s="2">
        <f t="shared" si="0"/>
        <v>0.743272335844995</v>
      </c>
    </row>
    <row r="13" spans="1:8">
      <c r="D13" s="1">
        <v>2025</v>
      </c>
      <c r="E13" s="3">
        <v>0.1456</v>
      </c>
      <c r="F13" s="3">
        <v>0.1324</v>
      </c>
      <c r="G13" s="4">
        <v>0.03</v>
      </c>
      <c r="H13" s="2">
        <f t="shared" si="0"/>
        <v>0.873111782477342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中证红利质量</vt:lpstr>
      <vt:lpstr>300红利质量</vt:lpstr>
      <vt:lpstr>500红利质量</vt:lpstr>
      <vt:lpstr>1000红利质量</vt:lpstr>
      <vt:lpstr>A500红利质量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2026-02-18T15:37:08Z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