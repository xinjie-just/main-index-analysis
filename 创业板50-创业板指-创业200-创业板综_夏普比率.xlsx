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955" activeTab="3"/>
  </bookViews>
  <sheets>
    <sheet name="创业板50" sheetId="1" r:id="rId1"/>
    <sheet name="创业板指" sheetId="2" r:id="rId2"/>
    <sheet name="创业200" sheetId="3" r:id="rId3"/>
    <sheet name="创业板综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<sst xmlns="http://schemas.openxmlformats.org/spreadsheetml/2006/main" count="40" uniqueCount="16">
  <si>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</si>
  <si>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</si>
  <si>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</si>
  <si>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</si>
  <si>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</si>
  <si>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</si>
  <si>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</si>
  <si>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</si>
  <si>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创业板50指数</t>
  </si>
  <si>
    <t>创业板50</t>
  </si>
  <si>
    <t>创业板指数</t>
  </si>
  <si>
    <t>创业板指</t>
  </si>
  <si>
    <t>创业板中盘200指数</t>
  </si>
  <si>
    <t>创业200</t>
  </si>
  <si>
    <t>创业板综合指数</t>
  </si>
  <si>
    <t>创业板综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</si>
</sst>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10" fontId="0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L12" sqref="L12"/>
    </sheetView>
  </sheetViews>
  <sheetFormatPr defaultColWidth="9" defaultRowHeight="13.5" outlineLevelCol="7"/>
  <cols>
    <col min="1" max="1" width="9.24778761061947" style="11" customWidth="1"/>
    <col min="2" max="2" width="13.5752212389381" style="11" customWidth="1"/>
    <col min="3" max="3" width="13.4336283185841" style="11" customWidth="1"/>
    <col min="4" max="4" width="5.53097345132743" style="11" customWidth="1"/>
    <col min="5" max="7" width="11.3097345132743" style="11" customWidth="1"/>
    <col min="8" max="8" width="13.4336283185841" style="12" customWidth="1"/>
  </cols>
  <sheetData>
    <row r="1" customFormat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>
      <c r="A2" s="11">
        <v>399673</v>
      </c>
      <c r="B2" s="11" t="s">
        <v>8</v>
      </c>
      <c r="C2" s="11" t="s">
        <v>9</v>
      </c>
      <c r="D2" s="11">
        <v>2011</v>
      </c>
      <c r="E2" s="8">
        <v>-0.3589</v>
      </c>
      <c r="F2" s="8">
        <v>0.2831</v>
      </c>
      <c r="G2" s="8">
        <v>0.03</v>
      </c>
      <c r="H2" s="12">
        <f t="shared" ref="H2:H16" si="0">(E2-G2)/F2</f>
        <v>-1.37371953373366</v>
      </c>
    </row>
    <row r="3" spans="1:8">
      <c r="D3" s="11">
        <v>2012</v>
      </c>
      <c r="E3" s="8">
        <v>-0.0752</v>
      </c>
      <c r="F3" s="8">
        <v>0.2932</v>
      </c>
      <c r="G3" s="8">
        <v>0.03</v>
      </c>
      <c r="H3" s="12">
        <f t="shared" si="0"/>
        <v>-0.358799454297408</v>
      </c>
    </row>
    <row r="4" spans="1:8">
      <c r="D4" s="11">
        <v>2013</v>
      </c>
      <c r="E4" s="8">
        <v>0.964</v>
      </c>
      <c r="F4" s="8">
        <v>0.3401</v>
      </c>
      <c r="G4" s="8">
        <v>0.03</v>
      </c>
      <c r="H4" s="12">
        <f t="shared" si="0"/>
        <v>2.74625110261688</v>
      </c>
    </row>
    <row r="5" spans="1:8">
      <c r="D5" s="11">
        <v>2014</v>
      </c>
      <c r="E5" s="8">
        <v>0.0957</v>
      </c>
      <c r="F5" s="8">
        <v>0.2633</v>
      </c>
      <c r="G5" s="8">
        <v>0.03</v>
      </c>
      <c r="H5" s="12">
        <f t="shared" si="0"/>
        <v>0.249525256361565</v>
      </c>
    </row>
    <row r="6" spans="1:8">
      <c r="D6" s="11">
        <v>2015</v>
      </c>
      <c r="E6" s="8">
        <v>0.8443</v>
      </c>
      <c r="F6" s="8">
        <v>0.5338</v>
      </c>
      <c r="G6" s="8">
        <v>0.03</v>
      </c>
      <c r="H6" s="12">
        <f t="shared" si="0"/>
        <v>1.52547770700637</v>
      </c>
    </row>
    <row r="7" spans="1:8">
      <c r="D7" s="11">
        <v>2016</v>
      </c>
      <c r="E7" s="8">
        <v>-0.3162</v>
      </c>
      <c r="F7" s="8">
        <v>0.3426</v>
      </c>
      <c r="G7" s="8">
        <v>0.03</v>
      </c>
      <c r="H7" s="12">
        <f t="shared" si="0"/>
        <v>-1.01050788091068</v>
      </c>
    </row>
    <row r="8" spans="1:8">
      <c r="D8" s="11">
        <v>2017</v>
      </c>
      <c r="E8" s="8">
        <v>-0.1439</v>
      </c>
      <c r="F8" s="8">
        <v>0.1903</v>
      </c>
      <c r="G8" s="8">
        <v>0.03</v>
      </c>
      <c r="H8" s="12">
        <f t="shared" si="0"/>
        <v>-0.91382028376248</v>
      </c>
    </row>
    <row r="9" spans="1:8">
      <c r="D9" s="11">
        <v>2018</v>
      </c>
      <c r="E9" s="8">
        <v>-0.3409</v>
      </c>
      <c r="F9" s="8">
        <v>0.3173</v>
      </c>
      <c r="G9" s="8">
        <v>0.03</v>
      </c>
      <c r="H9" s="12">
        <f t="shared" si="0"/>
        <v>-1.16892530728018</v>
      </c>
    </row>
    <row r="10" spans="1:8">
      <c r="D10" s="11">
        <v>2019</v>
      </c>
      <c r="E10" s="8">
        <v>0.5093</v>
      </c>
      <c r="F10" s="8">
        <v>0.2746</v>
      </c>
      <c r="G10" s="8">
        <v>0.03</v>
      </c>
      <c r="H10" s="12">
        <f t="shared" si="0"/>
        <v>1.74544792425346</v>
      </c>
    </row>
    <row r="11" spans="1:8">
      <c r="D11" s="11">
        <v>2020</v>
      </c>
      <c r="E11" s="8">
        <v>0.8874</v>
      </c>
      <c r="F11" s="8">
        <v>0.334</v>
      </c>
      <c r="G11" s="8">
        <v>0.03</v>
      </c>
      <c r="H11" s="12">
        <f t="shared" si="0"/>
        <v>2.56706586826347</v>
      </c>
    </row>
    <row r="12" spans="1:8">
      <c r="D12" s="11">
        <v>2021</v>
      </c>
      <c r="E12" s="8">
        <v>0.1688</v>
      </c>
      <c r="F12" s="8">
        <v>0.3085</v>
      </c>
      <c r="G12" s="8">
        <v>0.03</v>
      </c>
      <c r="H12" s="12">
        <f t="shared" si="0"/>
        <v>0.449918962722852</v>
      </c>
    </row>
    <row r="13" spans="1:8">
      <c r="D13" s="11">
        <v>2022</v>
      </c>
      <c r="E13" s="8">
        <v>-0.2983</v>
      </c>
      <c r="F13" s="8">
        <v>0.3064</v>
      </c>
      <c r="G13" s="8">
        <v>0.03</v>
      </c>
      <c r="H13" s="12">
        <f t="shared" si="0"/>
        <v>-1.07147519582245</v>
      </c>
    </row>
    <row r="14" spans="1:8">
      <c r="D14" s="11">
        <v>2023</v>
      </c>
      <c r="E14" s="8">
        <v>-0.24</v>
      </c>
      <c r="F14" s="8">
        <v>0.198</v>
      </c>
      <c r="G14" s="8">
        <v>0.03</v>
      </c>
      <c r="H14" s="12">
        <f t="shared" si="0"/>
        <v>-1.36363636363636</v>
      </c>
    </row>
    <row r="15" spans="1:8">
      <c r="D15" s="11">
        <v>2024</v>
      </c>
      <c r="E15" s="8">
        <v>0.2107</v>
      </c>
      <c r="F15" s="8">
        <v>0.4027</v>
      </c>
      <c r="G15" s="8">
        <v>0.03</v>
      </c>
      <c r="H15" s="12">
        <f t="shared" si="0"/>
        <v>0.448721132356593</v>
      </c>
    </row>
    <row r="16" spans="1:8">
      <c r="D16" s="11">
        <v>2025</v>
      </c>
      <c r="E16" s="8">
        <v>0.5745</v>
      </c>
      <c r="F16" s="8">
        <v>0.321</v>
      </c>
      <c r="G16" s="8">
        <v>0.03</v>
      </c>
      <c r="H16" s="12">
        <f t="shared" si="0"/>
        <v>1.69626168224299</v>
      </c>
    </row>
  </sheetData>
  <mergeCells count="3">
    <mergeCell ref="A2:A16"/>
    <mergeCell ref="B2:B16"/>
    <mergeCell ref="C2:C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98"/>
  <sheetViews>
    <sheetView workbookViewId="0">
      <selection activeCell="I12" sqref="I12"/>
    </sheetView>
  </sheetViews>
  <sheetFormatPr defaultColWidth="9" defaultRowHeight="13.5" outlineLevelCol="7"/>
  <cols>
    <col min="1" max="1" width="9.24778761061947" style="2" customWidth="1"/>
    <col min="2" max="3" width="13.4336283185841" style="2" customWidth="1"/>
    <col min="4" max="4" width="5.53097345132743" style="2" customWidth="1"/>
    <col min="5" max="7" width="11.3097345132743" style="2" customWidth="1"/>
    <col min="8" max="8" width="13.4336283185841" style="9" customWidth="1"/>
    <col min="9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="1" customFormat="1" spans="1:8">
      <c r="A2" s="10">
        <v>399006</v>
      </c>
      <c r="B2" s="10" t="s">
        <v>10</v>
      </c>
      <c r="C2" s="10" t="s">
        <v>11</v>
      </c>
      <c r="D2" s="2">
        <v>2011</v>
      </c>
      <c r="E2" s="7">
        <v>-0.3588</v>
      </c>
      <c r="F2" s="7">
        <v>0.2754</v>
      </c>
      <c r="G2" s="8">
        <v>0.03</v>
      </c>
      <c r="H2" s="9">
        <f t="shared" ref="H2:H16" si="0">(E2-G2)/F2</f>
        <v>-1.41176470588235</v>
      </c>
    </row>
    <row r="3" s="1" customFormat="1" spans="1:8">
      <c r="A3" s="10"/>
      <c r="B3" s="10"/>
      <c r="C3" s="10"/>
      <c r="D3" s="2">
        <v>2012</v>
      </c>
      <c r="E3" s="7">
        <v>-0.0214</v>
      </c>
      <c r="F3" s="7">
        <v>0.2806</v>
      </c>
      <c r="G3" s="8">
        <v>0.03</v>
      </c>
      <c r="H3" s="9">
        <f t="shared" si="0"/>
        <v>-0.183178902352103</v>
      </c>
    </row>
    <row r="4" s="1" customFormat="1" spans="1:8">
      <c r="A4" s="10"/>
      <c r="B4" s="10"/>
      <c r="C4" s="10"/>
      <c r="D4" s="2">
        <v>2013</v>
      </c>
      <c r="E4" s="7">
        <v>0.8273</v>
      </c>
      <c r="F4" s="7">
        <v>0.3173</v>
      </c>
      <c r="G4" s="8">
        <v>0.03</v>
      </c>
      <c r="H4" s="9">
        <f t="shared" si="0"/>
        <v>2.51276394579263</v>
      </c>
    </row>
    <row r="5" s="1" customFormat="1" spans="1:8">
      <c r="A5" s="10"/>
      <c r="B5" s="10"/>
      <c r="C5" s="10"/>
      <c r="D5" s="2">
        <v>2014</v>
      </c>
      <c r="E5" s="7">
        <v>0.1283</v>
      </c>
      <c r="F5" s="7">
        <v>0.2517</v>
      </c>
      <c r="G5" s="8">
        <v>0.03</v>
      </c>
      <c r="H5" s="9">
        <f t="shared" si="0"/>
        <v>0.390544298768375</v>
      </c>
    </row>
    <row r="6" s="1" customFormat="1" spans="1:8">
      <c r="A6" s="10"/>
      <c r="B6" s="10"/>
      <c r="C6" s="10"/>
      <c r="D6" s="2">
        <v>2015</v>
      </c>
      <c r="E6" s="7">
        <v>0.8441</v>
      </c>
      <c r="F6" s="7">
        <v>0.5104</v>
      </c>
      <c r="G6" s="8">
        <v>0.03</v>
      </c>
      <c r="H6" s="9">
        <f t="shared" si="0"/>
        <v>1.59502351097179</v>
      </c>
    </row>
    <row r="7" s="1" customFormat="1" spans="1:8">
      <c r="A7" s="10"/>
      <c r="B7" s="10"/>
      <c r="C7" s="10"/>
      <c r="D7" s="2">
        <v>2016</v>
      </c>
      <c r="E7" s="7">
        <v>-0.2771</v>
      </c>
      <c r="F7" s="7">
        <v>0.3338</v>
      </c>
      <c r="G7" s="8">
        <v>0.03</v>
      </c>
      <c r="H7" s="9">
        <f t="shared" si="0"/>
        <v>-0.920011983223487</v>
      </c>
    </row>
    <row r="8" s="1" customFormat="1" spans="1:8">
      <c r="A8" s="10"/>
      <c r="B8" s="10"/>
      <c r="C8" s="10"/>
      <c r="D8" s="2">
        <v>2017</v>
      </c>
      <c r="E8" s="7">
        <v>-0.1067</v>
      </c>
      <c r="F8" s="7">
        <v>0.1664</v>
      </c>
      <c r="G8" s="8">
        <v>0.03</v>
      </c>
      <c r="H8" s="9">
        <f t="shared" si="0"/>
        <v>-0.821514423076923</v>
      </c>
    </row>
    <row r="9" s="1" customFormat="1" spans="1:8">
      <c r="A9" s="10"/>
      <c r="B9" s="10"/>
      <c r="C9" s="10"/>
      <c r="D9" s="2">
        <v>2018</v>
      </c>
      <c r="E9" s="7">
        <v>-0.2865</v>
      </c>
      <c r="F9" s="7">
        <v>0.2805</v>
      </c>
      <c r="G9" s="8">
        <v>0.03</v>
      </c>
      <c r="H9" s="9">
        <f t="shared" si="0"/>
        <v>-1.1283422459893</v>
      </c>
    </row>
    <row r="10" s="1" customFormat="1" spans="1:8">
      <c r="A10" s="10"/>
      <c r="B10" s="10"/>
      <c r="C10" s="10"/>
      <c r="D10" s="2">
        <v>2019</v>
      </c>
      <c r="E10" s="7">
        <v>0.4379</v>
      </c>
      <c r="F10" s="7">
        <v>0.2607</v>
      </c>
      <c r="G10" s="8">
        <v>0.03</v>
      </c>
      <c r="H10" s="9">
        <f t="shared" si="0"/>
        <v>1.56463367855773</v>
      </c>
    </row>
    <row r="11" s="1" customFormat="1" spans="1:8">
      <c r="A11" s="10"/>
      <c r="B11" s="10"/>
      <c r="C11" s="10"/>
      <c r="D11" s="2">
        <v>2020</v>
      </c>
      <c r="E11" s="7">
        <v>0.6496</v>
      </c>
      <c r="F11" s="7">
        <v>0.3127</v>
      </c>
      <c r="G11" s="8">
        <v>0.03</v>
      </c>
      <c r="H11" s="9">
        <f t="shared" si="0"/>
        <v>1.98145187080269</v>
      </c>
    </row>
    <row r="12" s="1" customFormat="1" spans="1:8">
      <c r="A12" s="10"/>
      <c r="B12" s="10"/>
      <c r="C12" s="10"/>
      <c r="D12" s="2">
        <v>2021</v>
      </c>
      <c r="E12" s="7">
        <v>0.1202</v>
      </c>
      <c r="F12" s="7">
        <v>0.2762</v>
      </c>
      <c r="G12" s="8">
        <v>0.03</v>
      </c>
      <c r="H12" s="9">
        <f t="shared" si="0"/>
        <v>0.326574945691528</v>
      </c>
    </row>
    <row r="13" s="1" customFormat="1" spans="1:8">
      <c r="A13" s="10"/>
      <c r="B13" s="10"/>
      <c r="C13" s="10"/>
      <c r="D13" s="2">
        <v>2022</v>
      </c>
      <c r="E13" s="7">
        <v>-0.2937</v>
      </c>
      <c r="F13" s="7">
        <v>0.2815</v>
      </c>
      <c r="G13" s="8">
        <v>0.03</v>
      </c>
      <c r="H13" s="9">
        <f t="shared" si="0"/>
        <v>-1.14991119005329</v>
      </c>
    </row>
    <row r="14" s="1" customFormat="1" spans="1:8">
      <c r="A14" s="10"/>
      <c r="B14" s="10"/>
      <c r="C14" s="10"/>
      <c r="D14" s="2">
        <v>2023</v>
      </c>
      <c r="E14" s="7">
        <v>-0.1941</v>
      </c>
      <c r="F14" s="7">
        <v>0.1775</v>
      </c>
      <c r="G14" s="8">
        <v>0.03</v>
      </c>
      <c r="H14" s="9">
        <f t="shared" si="0"/>
        <v>-1.26253521126761</v>
      </c>
    </row>
    <row r="15" s="1" customFormat="1" spans="1:8">
      <c r="A15" s="10"/>
      <c r="B15" s="10"/>
      <c r="C15" s="10"/>
      <c r="D15" s="2">
        <v>2024</v>
      </c>
      <c r="E15" s="7">
        <v>0.1323</v>
      </c>
      <c r="F15" s="7">
        <v>0.386</v>
      </c>
      <c r="G15" s="8">
        <v>0.03</v>
      </c>
      <c r="H15" s="9">
        <f t="shared" si="0"/>
        <v>0.265025906735751</v>
      </c>
    </row>
    <row r="16" s="1" customFormat="1" spans="1:8">
      <c r="A16" s="10"/>
      <c r="B16" s="10"/>
      <c r="C16" s="10"/>
      <c r="D16" s="2">
        <v>2025</v>
      </c>
      <c r="E16" s="7">
        <v>0.4957</v>
      </c>
      <c r="F16" s="7">
        <v>0.2947</v>
      </c>
      <c r="G16" s="8">
        <v>0.03</v>
      </c>
      <c r="H16" s="9">
        <f t="shared" si="0"/>
        <v>1.58025110281642</v>
      </c>
    </row>
    <row r="5097" s="1" customFormat="1" spans="1:8">
      <c r="A5097" s="2"/>
      <c r="B5097" s="2"/>
      <c r="C5097" s="2"/>
      <c r="D5097" s="2"/>
      <c r="E5097" s="2"/>
      <c r="F5097" s="2"/>
      <c r="G5097" s="2"/>
      <c r="H5097" s="9"/>
    </row>
    <row r="5098" s="1" customFormat="1" spans="1:8">
      <c r="A5098" s="2"/>
      <c r="B5098" s="2"/>
      <c r="C5098" s="2"/>
      <c r="D5098" s="2"/>
      <c r="E5098" s="2"/>
      <c r="F5098" s="2"/>
      <c r="G5098" s="2"/>
      <c r="H5098" s="9"/>
    </row>
  </sheetData>
  <mergeCells count="3">
    <mergeCell ref="A2:A16"/>
    <mergeCell ref="B2:B16"/>
    <mergeCell ref="C2:C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96"/>
  <sheetViews>
    <sheetView workbookViewId="0">
      <selection activeCell="J11" sqref="J11"/>
    </sheetView>
  </sheetViews>
  <sheetFormatPr defaultColWidth="9" defaultRowHeight="13.5" outlineLevelCol="7"/>
  <cols>
    <col min="1" max="1" width="9.24778761061947" style="2" customWidth="1"/>
    <col min="2" max="2" width="18.9646017699115" style="2" customWidth="1"/>
    <col min="3" max="3" width="13.4336283185841" style="2" customWidth="1"/>
    <col min="4" max="4" width="5.53097345132743" style="2" customWidth="1"/>
    <col min="5" max="7" width="11.3097345132743" style="2" customWidth="1"/>
    <col min="8" max="8" width="13.4336283185841" style="9" customWidth="1"/>
    <col min="9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="1" customFormat="1" spans="1:8">
      <c r="A2" s="10">
        <v>399019</v>
      </c>
      <c r="B2" s="10" t="s">
        <v>12</v>
      </c>
      <c r="C2" s="10" t="s">
        <v>13</v>
      </c>
      <c r="D2" s="2">
        <v>2013</v>
      </c>
      <c r="E2" s="7">
        <v>0.6097</v>
      </c>
      <c r="F2" s="7">
        <v>0.3245</v>
      </c>
      <c r="G2" s="8">
        <v>0.03</v>
      </c>
      <c r="H2" s="9">
        <f t="shared" ref="H2:H14" si="0">(E2-G2)/F2</f>
        <v>1.7864406779661</v>
      </c>
    </row>
    <row r="3" s="1" customFormat="1" spans="1:8">
      <c r="A3" s="10"/>
      <c r="B3" s="10"/>
      <c r="C3" s="10"/>
      <c r="D3" s="2">
        <v>2014</v>
      </c>
      <c r="E3" s="7">
        <v>0.43</v>
      </c>
      <c r="F3" s="7">
        <v>0.2715</v>
      </c>
      <c r="G3" s="8">
        <v>0.03</v>
      </c>
      <c r="H3" s="9">
        <f t="shared" si="0"/>
        <v>1.47329650092081</v>
      </c>
    </row>
    <row r="4" s="1" customFormat="1" spans="1:8">
      <c r="A4" s="10"/>
      <c r="B4" s="10"/>
      <c r="C4" s="10"/>
      <c r="D4" s="2">
        <v>2015</v>
      </c>
      <c r="E4" s="7">
        <v>1.2877</v>
      </c>
      <c r="F4" s="7">
        <v>0.4819</v>
      </c>
      <c r="G4" s="8">
        <v>0.03</v>
      </c>
      <c r="H4" s="9">
        <f t="shared" si="0"/>
        <v>2.60987756796016</v>
      </c>
    </row>
    <row r="5" s="1" customFormat="1" spans="1:8">
      <c r="A5" s="10"/>
      <c r="B5" s="10"/>
      <c r="C5" s="10"/>
      <c r="D5" s="2">
        <v>2016</v>
      </c>
      <c r="E5" s="7">
        <v>-0.2257</v>
      </c>
      <c r="F5" s="7">
        <v>0.3645</v>
      </c>
      <c r="G5" s="8">
        <v>0.03</v>
      </c>
      <c r="H5" s="9">
        <f t="shared" si="0"/>
        <v>-0.701508916323731</v>
      </c>
    </row>
    <row r="6" s="1" customFormat="1" spans="1:8">
      <c r="A6" s="10"/>
      <c r="B6" s="10"/>
      <c r="C6" s="10"/>
      <c r="D6" s="2">
        <v>2017</v>
      </c>
      <c r="E6" s="7">
        <v>-0.2211</v>
      </c>
      <c r="F6" s="7">
        <v>0.203</v>
      </c>
      <c r="G6" s="8">
        <v>0.03</v>
      </c>
      <c r="H6" s="9">
        <f t="shared" si="0"/>
        <v>-1.23694581280788</v>
      </c>
    </row>
    <row r="7" s="1" customFormat="1" spans="1:8">
      <c r="A7" s="10"/>
      <c r="B7" s="10"/>
      <c r="C7" s="10"/>
      <c r="D7" s="2">
        <v>2018</v>
      </c>
      <c r="E7" s="7">
        <v>-0.347</v>
      </c>
      <c r="F7" s="7">
        <v>0.2917</v>
      </c>
      <c r="G7" s="8">
        <v>0.03</v>
      </c>
      <c r="H7" s="9">
        <f t="shared" si="0"/>
        <v>-1.29242372300309</v>
      </c>
    </row>
    <row r="8" s="1" customFormat="1" spans="1:8">
      <c r="A8" s="10"/>
      <c r="B8" s="10"/>
      <c r="C8" s="10"/>
      <c r="D8" s="2">
        <v>2019</v>
      </c>
      <c r="E8" s="7">
        <v>0.3284</v>
      </c>
      <c r="F8" s="7">
        <v>0.2922</v>
      </c>
      <c r="G8" s="8">
        <v>0.03</v>
      </c>
      <c r="H8" s="9">
        <f t="shared" si="0"/>
        <v>1.02121834360027</v>
      </c>
    </row>
    <row r="9" s="1" customFormat="1" spans="1:8">
      <c r="A9" s="10"/>
      <c r="B9" s="10"/>
      <c r="C9" s="10"/>
      <c r="D9" s="2">
        <v>2020</v>
      </c>
      <c r="E9" s="7">
        <v>0.1737</v>
      </c>
      <c r="F9" s="7">
        <v>0.3461</v>
      </c>
      <c r="G9" s="8">
        <v>0.03</v>
      </c>
      <c r="H9" s="9">
        <f t="shared" si="0"/>
        <v>0.415197919676394</v>
      </c>
    </row>
    <row r="10" s="1" customFormat="1" spans="1:8">
      <c r="A10" s="10"/>
      <c r="B10" s="10"/>
      <c r="C10" s="10"/>
      <c r="D10" s="2">
        <v>2021</v>
      </c>
      <c r="E10" s="7">
        <v>0.2807</v>
      </c>
      <c r="F10" s="7">
        <v>0.2328</v>
      </c>
      <c r="G10" s="8">
        <v>0.03</v>
      </c>
      <c r="H10" s="9">
        <f t="shared" si="0"/>
        <v>1.07689003436426</v>
      </c>
    </row>
    <row r="11" s="1" customFormat="1" spans="1:8">
      <c r="A11" s="10"/>
      <c r="B11" s="10"/>
      <c r="C11" s="10"/>
      <c r="D11" s="2">
        <v>2022</v>
      </c>
      <c r="E11" s="7">
        <v>-0.253</v>
      </c>
      <c r="F11" s="7">
        <v>0.2872</v>
      </c>
      <c r="G11" s="8">
        <v>0.03</v>
      </c>
      <c r="H11" s="9">
        <f t="shared" si="0"/>
        <v>-0.985376044568245</v>
      </c>
    </row>
    <row r="12" s="1" customFormat="1" spans="1:8">
      <c r="A12" s="10"/>
      <c r="B12" s="10"/>
      <c r="C12" s="10"/>
      <c r="D12" s="2">
        <v>2023</v>
      </c>
      <c r="E12" s="7">
        <v>0.0552</v>
      </c>
      <c r="F12" s="7">
        <v>0.221</v>
      </c>
      <c r="G12" s="8">
        <v>0.03</v>
      </c>
      <c r="H12" s="9">
        <f t="shared" si="0"/>
        <v>0.114027149321267</v>
      </c>
    </row>
    <row r="13" s="1" customFormat="1" spans="1:8">
      <c r="A13" s="10"/>
      <c r="B13" s="10"/>
      <c r="C13" s="10"/>
      <c r="D13" s="2">
        <v>2024</v>
      </c>
      <c r="E13" s="7">
        <v>0.0974</v>
      </c>
      <c r="F13" s="7">
        <v>0.4508</v>
      </c>
      <c r="G13" s="8">
        <v>0.03</v>
      </c>
      <c r="H13" s="9">
        <f t="shared" si="0"/>
        <v>0.149511978704525</v>
      </c>
    </row>
    <row r="14" s="1" customFormat="1" spans="1:8">
      <c r="A14" s="10"/>
      <c r="B14" s="10"/>
      <c r="C14" s="10"/>
      <c r="D14" s="2">
        <v>2025</v>
      </c>
      <c r="E14" s="7">
        <v>0.2916</v>
      </c>
      <c r="F14" s="7">
        <v>0.318</v>
      </c>
      <c r="G14" s="8">
        <v>0.03</v>
      </c>
      <c r="H14" s="9">
        <f t="shared" si="0"/>
        <v>0.822641509433962</v>
      </c>
    </row>
    <row r="5095" s="1" customFormat="1" spans="1:8">
      <c r="A5095" s="2"/>
      <c r="B5095" s="2"/>
      <c r="C5095" s="2"/>
      <c r="D5095" s="2"/>
      <c r="E5095" s="2"/>
      <c r="F5095" s="2"/>
      <c r="G5095" s="2"/>
      <c r="H5095" s="9"/>
    </row>
    <row r="5096" s="1" customFormat="1" spans="1:8">
      <c r="A5096" s="2"/>
      <c r="B5096" s="2"/>
      <c r="C5096" s="2"/>
      <c r="D5096" s="2"/>
      <c r="E5096" s="2"/>
      <c r="F5096" s="2"/>
      <c r="G5096" s="2"/>
      <c r="H5096" s="9"/>
    </row>
  </sheetData>
  <mergeCells count="3">
    <mergeCell ref="A2:A14"/>
    <mergeCell ref="B2:B14"/>
    <mergeCell ref="C2:C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15"/>
  <sheetViews>
    <sheetView tabSelected="1" workbookViewId="0">
      <selection activeCell="J14" sqref="J14"/>
    </sheetView>
  </sheetViews>
  <sheetFormatPr defaultColWidth="9" defaultRowHeight="13.5" outlineLevelCol="7"/>
  <cols>
    <col min="1" max="1" width="9.24778761061947" style="2" customWidth="1"/>
    <col min="2" max="2" width="15.6283185840708" style="2" customWidth="1"/>
    <col min="3" max="3" width="13.4336283185841" style="2" customWidth="1"/>
    <col min="4" max="4" width="5.53097345132743" style="2" customWidth="1"/>
    <col min="5" max="7" width="11.3097345132743" style="2" customWidth="1"/>
    <col min="8" max="8" width="13.4336283185841" style="3" customWidth="1"/>
    <col min="9" max="16384" width="9" style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="1" customFormat="1" spans="1:8">
      <c r="A2" s="5">
        <v>399102</v>
      </c>
      <c r="B2" s="6" t="s">
        <v>14</v>
      </c>
      <c r="C2" s="5" t="s">
        <v>15</v>
      </c>
      <c r="D2" s="2">
        <v>2011</v>
      </c>
      <c r="E2" s="7">
        <v>-0.3542</v>
      </c>
      <c r="F2" s="7">
        <v>0.2739</v>
      </c>
      <c r="G2" s="8">
        <v>0.03</v>
      </c>
      <c r="H2" s="4">
        <f>(E2-G2)/F2</f>
        <v>-1.40270171595473</v>
      </c>
    </row>
    <row r="3" s="1" customFormat="1" spans="1:8">
      <c r="A3" s="5"/>
      <c r="B3" s="6"/>
      <c r="C3" s="5"/>
      <c r="D3" s="2">
        <v>2012</v>
      </c>
      <c r="E3" s="7">
        <v>-0.0191</v>
      </c>
      <c r="F3" s="7">
        <v>0.2884</v>
      </c>
      <c r="G3" s="8">
        <v>0.03</v>
      </c>
      <c r="H3" s="4">
        <f t="shared" ref="H3:H16" si="0">(E3-G3)/F3</f>
        <v>-0.170249653259362</v>
      </c>
    </row>
    <row r="4" s="1" customFormat="1" spans="1:8">
      <c r="A4" s="5"/>
      <c r="B4" s="6"/>
      <c r="C4" s="5"/>
      <c r="D4" s="2">
        <v>2013</v>
      </c>
      <c r="E4" s="7">
        <v>0.7473</v>
      </c>
      <c r="F4" s="7">
        <v>0.3121</v>
      </c>
      <c r="G4" s="8">
        <v>0.03</v>
      </c>
      <c r="H4" s="4">
        <f t="shared" si="0"/>
        <v>2.29830182633771</v>
      </c>
    </row>
    <row r="5" s="1" customFormat="1" spans="1:8">
      <c r="A5" s="5"/>
      <c r="B5" s="6"/>
      <c r="C5" s="5"/>
      <c r="D5" s="2">
        <v>2014</v>
      </c>
      <c r="E5" s="7">
        <v>0.2704</v>
      </c>
      <c r="F5" s="7">
        <v>0.2538</v>
      </c>
      <c r="G5" s="8">
        <v>0.03</v>
      </c>
      <c r="H5" s="4">
        <f t="shared" si="0"/>
        <v>0.947202521670607</v>
      </c>
    </row>
    <row r="6" s="1" customFormat="1" spans="1:8">
      <c r="A6" s="5"/>
      <c r="B6" s="6"/>
      <c r="C6" s="5"/>
      <c r="D6" s="2">
        <v>2015</v>
      </c>
      <c r="E6" s="7">
        <v>1.0661</v>
      </c>
      <c r="F6" s="7">
        <v>0.4935</v>
      </c>
      <c r="G6" s="8">
        <v>0.03</v>
      </c>
      <c r="H6" s="4">
        <f t="shared" si="0"/>
        <v>2.09949341438703</v>
      </c>
    </row>
    <row r="7" s="1" customFormat="1" spans="1:8">
      <c r="A7" s="5"/>
      <c r="B7" s="6"/>
      <c r="C7" s="5"/>
      <c r="D7" s="2">
        <v>2016</v>
      </c>
      <c r="E7" s="7">
        <v>-0.2035</v>
      </c>
      <c r="F7" s="7">
        <v>0.3445</v>
      </c>
      <c r="G7" s="8">
        <v>0.03</v>
      </c>
      <c r="H7" s="4">
        <f t="shared" si="0"/>
        <v>-0.677793904208999</v>
      </c>
    </row>
    <row r="8" s="1" customFormat="1" spans="1:8">
      <c r="A8" s="5"/>
      <c r="B8" s="6"/>
      <c r="C8" s="5"/>
      <c r="D8" s="2">
        <v>2017</v>
      </c>
      <c r="E8" s="7">
        <v>-0.1532</v>
      </c>
      <c r="F8" s="7">
        <v>0.1826</v>
      </c>
      <c r="G8" s="8">
        <v>0.03</v>
      </c>
      <c r="H8" s="4">
        <f t="shared" si="0"/>
        <v>-1.00328587075575</v>
      </c>
    </row>
    <row r="9" s="1" customFormat="1" spans="1:8">
      <c r="A9" s="5"/>
      <c r="B9" s="6"/>
      <c r="C9" s="5"/>
      <c r="D9" s="2">
        <v>2018</v>
      </c>
      <c r="E9" s="7">
        <v>-0.3112</v>
      </c>
      <c r="F9" s="7">
        <v>0.2813</v>
      </c>
      <c r="G9" s="8">
        <v>0.03</v>
      </c>
      <c r="H9" s="4">
        <f t="shared" si="0"/>
        <v>-1.21293992179168</v>
      </c>
    </row>
    <row r="10" s="1" customFormat="1" spans="1:8">
      <c r="A10" s="5"/>
      <c r="B10" s="6"/>
      <c r="C10" s="5"/>
      <c r="D10" s="2">
        <v>2019</v>
      </c>
      <c r="E10" s="7">
        <v>0.3872</v>
      </c>
      <c r="F10" s="7">
        <v>0.2655</v>
      </c>
      <c r="G10" s="8">
        <v>0.03</v>
      </c>
      <c r="H10" s="4">
        <f t="shared" si="0"/>
        <v>1.34538606403013</v>
      </c>
    </row>
    <row r="11" s="1" customFormat="1" spans="1:8">
      <c r="A11" s="5"/>
      <c r="B11" s="6"/>
      <c r="C11" s="5"/>
      <c r="D11" s="2">
        <v>2020</v>
      </c>
      <c r="E11" s="7">
        <v>0.4785</v>
      </c>
      <c r="F11" s="7">
        <v>0.3099</v>
      </c>
      <c r="G11" s="8">
        <v>0.03</v>
      </c>
      <c r="H11" s="4">
        <f t="shared" si="0"/>
        <v>1.44724104549855</v>
      </c>
    </row>
    <row r="12" s="1" customFormat="1" spans="1:8">
      <c r="A12" s="5"/>
      <c r="B12" s="6"/>
      <c r="C12" s="5"/>
      <c r="D12" s="2">
        <v>2021</v>
      </c>
      <c r="E12" s="7">
        <v>0.1793</v>
      </c>
      <c r="F12" s="7">
        <v>0.2269</v>
      </c>
      <c r="G12" s="8">
        <v>0.03</v>
      </c>
      <c r="H12" s="4">
        <f t="shared" si="0"/>
        <v>0.657999118554429</v>
      </c>
    </row>
    <row r="13" s="1" customFormat="1" spans="1:8">
      <c r="A13" s="5"/>
      <c r="B13" s="6"/>
      <c r="C13" s="5"/>
      <c r="D13" s="2">
        <v>2022</v>
      </c>
      <c r="E13" s="7">
        <v>-0.2677</v>
      </c>
      <c r="F13" s="7">
        <v>0.2678</v>
      </c>
      <c r="G13" s="8">
        <v>0.03</v>
      </c>
      <c r="H13" s="4">
        <f t="shared" si="0"/>
        <v>-1.11165048543689</v>
      </c>
    </row>
    <row r="14" s="1" customFormat="1" spans="1:8">
      <c r="A14" s="5"/>
      <c r="B14" s="6"/>
      <c r="C14" s="5"/>
      <c r="D14" s="2">
        <v>2023</v>
      </c>
      <c r="E14" s="7">
        <v>-0.0541</v>
      </c>
      <c r="F14" s="7">
        <v>0.1687</v>
      </c>
      <c r="G14" s="8">
        <v>0.03</v>
      </c>
      <c r="H14" s="4">
        <f t="shared" si="0"/>
        <v>-0.498518079430943</v>
      </c>
    </row>
    <row r="15" s="1" customFormat="1" spans="1:8">
      <c r="A15" s="5"/>
      <c r="B15" s="6"/>
      <c r="C15" s="5"/>
      <c r="D15" s="2">
        <v>2024</v>
      </c>
      <c r="E15" s="7">
        <v>0.0963</v>
      </c>
      <c r="F15" s="7">
        <v>0.3935</v>
      </c>
      <c r="G15" s="8">
        <v>0.03</v>
      </c>
      <c r="H15" s="4">
        <f t="shared" si="0"/>
        <v>0.16848792884371</v>
      </c>
    </row>
    <row r="16" s="1" customFormat="1" spans="1:8">
      <c r="A16" s="5"/>
      <c r="B16" s="6"/>
      <c r="C16" s="5"/>
      <c r="D16" s="2">
        <v>2025</v>
      </c>
      <c r="E16" s="7">
        <v>0.404</v>
      </c>
      <c r="F16" s="7">
        <v>0.2842</v>
      </c>
      <c r="G16" s="8">
        <v>0.03</v>
      </c>
      <c r="H16" s="4">
        <f t="shared" si="0"/>
        <v>1.31597466572836</v>
      </c>
    </row>
    <row r="17" spans="7:7">
      <c r="G17" s="8"/>
    </row>
    <row r="18" spans="7:7">
      <c r="G18" s="8"/>
    </row>
    <row r="19" spans="7:7">
      <c r="G19" s="8"/>
    </row>
    <row r="20" spans="7:7">
      <c r="G20" s="8"/>
    </row>
    <row r="21" spans="7:7">
      <c r="G21" s="8"/>
    </row>
    <row r="22" spans="7:7">
      <c r="G22" s="8"/>
    </row>
    <row r="23" spans="7:7">
      <c r="G23" s="8"/>
    </row>
    <row r="24" spans="7:7">
      <c r="G24" s="8"/>
    </row>
    <row r="25" spans="7:7">
      <c r="G25" s="8"/>
    </row>
    <row r="2914" s="1" customFormat="1" spans="1:8">
      <c r="A2914" s="2"/>
      <c r="B2914" s="2"/>
      <c r="C2914" s="2"/>
      <c r="D2914" s="2"/>
      <c r="E2914" s="2"/>
      <c r="F2914" s="2"/>
      <c r="G2914" s="2"/>
      <c r="H2914" s="3"/>
    </row>
    <row r="2915" s="1" customFormat="1" spans="1:8">
      <c r="A2915" s="2"/>
      <c r="B2915" s="2"/>
      <c r="C2915" s="2"/>
      <c r="D2915" s="2"/>
      <c r="E2915" s="2"/>
      <c r="F2915" s="2"/>
      <c r="G2915" s="2"/>
      <c r="H2915" s="3"/>
    </row>
  </sheetData>
  <mergeCells count="3">
    <mergeCell ref="A2:A16"/>
    <mergeCell ref="B2:B16"/>
    <mergeCell ref="C2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创业板50</vt:lpstr>
      <vt:lpstr>创业板指</vt:lpstr>
      <vt:lpstr>创业200</vt:lpstr>
      <vt:lpstr>创业板综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2025-12-29T13:46:00Z</dcterms:created>
  <dcterms:modified xsi:type="dcterms:W3CDTF">2026-01-19T11:43:43Z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75A721CD77E04D56A5FC3F1414DAF475_12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