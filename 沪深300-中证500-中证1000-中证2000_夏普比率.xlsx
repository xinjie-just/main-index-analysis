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沪深300" sheetId="1" r:id="rId1"/>
    <sheet name="中证500" sheetId="2" r:id="rId2"/>
    <sheet name="中证1000" sheetId="3" r:id="rId3"/>
    <sheet name="中证200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<sst xmlns="http://schemas.openxmlformats.org/spreadsheetml/2006/main" count="44" uniqueCount="20">
  <si>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</si>
  <si>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</si>
  <si>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</si>
  <si>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</si>
  <si>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</si>
  <si>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</si>
  <si>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</si>
  <si>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</si>
  <si>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000300</t>
  </si>
  <si>
    <t>沪深300指数</t>
  </si>
  <si>
    <t>沪深300</t>
  </si>
  <si>
    <t>000905</t>
  </si>
  <si>
    <t>中证小盘500指数</t>
  </si>
  <si>
    <t>中证500</t>
  </si>
  <si>
    <t>000852</t>
  </si>
  <si>
    <t>中证1000指数</t>
  </si>
  <si>
    <t>中证1000</t>
  </si>
  <si>
    <t>932000</t>
  </si>
  <si>
    <t>中证2000指数</t>
  </si>
  <si>
    <t>中证2000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</si>
</sst>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10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9" sqref="H9"/>
    </sheetView>
  </sheetViews>
  <sheetFormatPr defaultColWidth="9" defaultRowHeight="13.5" outlineLevelCol="7"/>
  <cols>
    <col min="1" max="1" width="9.24778761061947" style="8" customWidth="1"/>
    <col min="2" max="3" width="13.4336283185841" style="8" customWidth="1"/>
    <col min="4" max="4" width="5.53097345132743" style="8" customWidth="1"/>
    <col min="5" max="7" width="11.3097345132743" style="8" customWidth="1"/>
    <col min="8" max="8" width="13.4336283185841" style="9" customWidth="1"/>
  </cols>
  <sheetData>
    <row r="1" customFormat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>
      <c r="A2" s="8" t="s">
        <v>8</v>
      </c>
      <c r="B2" s="8" t="s">
        <v>9</v>
      </c>
      <c r="C2" s="8" t="s">
        <v>10</v>
      </c>
      <c r="D2" s="8">
        <v>2005</v>
      </c>
      <c r="E2" s="7">
        <v>-0.0766</v>
      </c>
      <c r="F2" s="7">
        <v>0.2071</v>
      </c>
      <c r="G2" s="7">
        <v>0.03</v>
      </c>
      <c r="H2" s="9">
        <f>(E2-G2)/F2</f>
        <v>-0.514727184934814</v>
      </c>
    </row>
    <row r="3" spans="1:8">
      <c r="D3" s="8">
        <v>2006</v>
      </c>
      <c r="E3" s="7">
        <v>1.2102</v>
      </c>
      <c r="F3" s="7">
        <v>0.218</v>
      </c>
      <c r="G3" s="7">
        <v>0.03</v>
      </c>
      <c r="H3" s="9">
        <f>(E3-G3)/F3</f>
        <v>5.41376146788991</v>
      </c>
    </row>
    <row r="4" spans="1:8">
      <c r="D4" s="8">
        <v>2007</v>
      </c>
      <c r="E4" s="7">
        <v>1.6155</v>
      </c>
      <c r="F4" s="7">
        <v>0.3641</v>
      </c>
      <c r="G4" s="7">
        <v>0.03</v>
      </c>
      <c r="H4" s="9">
        <f t="shared" ref="H3:H22" si="0">(E4-G4)/F4</f>
        <v>4.3545729195276</v>
      </c>
    </row>
    <row r="5" spans="1:8">
      <c r="D5" s="8">
        <v>2008</v>
      </c>
      <c r="E5" s="7">
        <v>-0.6595</v>
      </c>
      <c r="F5" s="7">
        <v>0.48</v>
      </c>
      <c r="G5" s="7">
        <v>0.03</v>
      </c>
      <c r="H5" s="9">
        <f t="shared" si="0"/>
        <v>-1.43645833333333</v>
      </c>
    </row>
    <row r="6" spans="1:8">
      <c r="D6" s="8">
        <v>2009</v>
      </c>
      <c r="E6" s="7">
        <v>0.9671</v>
      </c>
      <c r="F6" s="7">
        <v>0.3214</v>
      </c>
      <c r="G6" s="7">
        <v>0.03</v>
      </c>
      <c r="H6" s="9">
        <f t="shared" si="0"/>
        <v>2.91568139390168</v>
      </c>
    </row>
    <row r="7" spans="1:8">
      <c r="D7" s="8">
        <v>2010</v>
      </c>
      <c r="E7" s="7">
        <v>-0.1251</v>
      </c>
      <c r="F7" s="7">
        <v>0.2478</v>
      </c>
      <c r="G7" s="7">
        <v>0.03</v>
      </c>
      <c r="H7" s="9">
        <f t="shared" si="0"/>
        <v>-0.62590799031477</v>
      </c>
    </row>
    <row r="8" spans="1:8">
      <c r="D8" s="8">
        <v>2011</v>
      </c>
      <c r="E8" s="7">
        <v>-0.2501</v>
      </c>
      <c r="F8" s="7">
        <v>0.2031</v>
      </c>
      <c r="G8" s="7">
        <v>0.03</v>
      </c>
      <c r="H8" s="9">
        <f t="shared" si="0"/>
        <v>-1.37912358444116</v>
      </c>
    </row>
    <row r="9" spans="1:8">
      <c r="D9" s="8">
        <v>2012</v>
      </c>
      <c r="E9" s="7">
        <v>0.0755</v>
      </c>
      <c r="F9" s="7">
        <v>0.199</v>
      </c>
      <c r="G9" s="7">
        <v>0.03</v>
      </c>
      <c r="H9" s="9">
        <f t="shared" si="0"/>
        <v>0.228643216080402</v>
      </c>
    </row>
    <row r="10" spans="1:8">
      <c r="D10" s="8">
        <v>2013</v>
      </c>
      <c r="E10" s="7">
        <v>-0.0765</v>
      </c>
      <c r="F10" s="7">
        <v>0.2168</v>
      </c>
      <c r="G10" s="7">
        <v>0.03</v>
      </c>
      <c r="H10" s="9">
        <f t="shared" si="0"/>
        <v>-0.491236162361624</v>
      </c>
    </row>
    <row r="11" spans="1:8">
      <c r="D11" s="8">
        <v>2014</v>
      </c>
      <c r="E11" s="7">
        <v>0.5166</v>
      </c>
      <c r="F11" s="7">
        <v>0.1895</v>
      </c>
      <c r="G11" s="7">
        <v>0.03</v>
      </c>
      <c r="H11" s="9">
        <f t="shared" si="0"/>
        <v>2.56781002638522</v>
      </c>
    </row>
    <row r="12" spans="1:8">
      <c r="D12" s="8">
        <v>2015</v>
      </c>
      <c r="E12" s="7">
        <v>0.0558</v>
      </c>
      <c r="F12" s="7">
        <v>0.3914</v>
      </c>
      <c r="G12" s="7">
        <v>0.03</v>
      </c>
      <c r="H12" s="9">
        <f t="shared" si="0"/>
        <v>0.0659172202350537</v>
      </c>
    </row>
    <row r="13" spans="1:8">
      <c r="D13" s="8">
        <v>2016</v>
      </c>
      <c r="E13" s="7">
        <v>-0.1128</v>
      </c>
      <c r="F13" s="7">
        <v>0.2096</v>
      </c>
      <c r="G13" s="7">
        <v>0.03</v>
      </c>
      <c r="H13" s="9">
        <f t="shared" si="0"/>
        <v>-0.681297709923664</v>
      </c>
    </row>
    <row r="14" spans="1:8">
      <c r="D14" s="8">
        <v>2017</v>
      </c>
      <c r="E14" s="7">
        <v>0.2178</v>
      </c>
      <c r="F14" s="7">
        <v>0.0997</v>
      </c>
      <c r="G14" s="7">
        <v>0.03</v>
      </c>
      <c r="H14" s="9">
        <f t="shared" si="0"/>
        <v>1.88365095285858</v>
      </c>
    </row>
    <row r="15" spans="1:8">
      <c r="D15" s="8">
        <v>2018</v>
      </c>
      <c r="E15" s="7">
        <v>-0.2531</v>
      </c>
      <c r="F15" s="7">
        <v>0.2108</v>
      </c>
      <c r="G15" s="7">
        <v>0.03</v>
      </c>
      <c r="H15" s="9">
        <f t="shared" si="0"/>
        <v>-1.34297912713473</v>
      </c>
    </row>
    <row r="16" spans="1:8">
      <c r="D16" s="8">
        <v>2019</v>
      </c>
      <c r="E16" s="7">
        <v>0.3607</v>
      </c>
      <c r="F16" s="7">
        <v>0.1948</v>
      </c>
      <c r="G16" s="7">
        <v>0.03</v>
      </c>
      <c r="H16" s="9">
        <f t="shared" si="0"/>
        <v>1.6976386036961</v>
      </c>
    </row>
    <row r="17" spans="4:8">
      <c r="D17" s="8">
        <v>2020</v>
      </c>
      <c r="E17" s="7">
        <v>0.2721</v>
      </c>
      <c r="F17" s="7">
        <v>0.225</v>
      </c>
      <c r="G17" s="7">
        <v>0.03</v>
      </c>
      <c r="H17" s="9">
        <f t="shared" si="0"/>
        <v>1.076</v>
      </c>
    </row>
    <row r="18" spans="4:8">
      <c r="D18" s="8">
        <v>2021</v>
      </c>
      <c r="E18" s="7">
        <v>-0.052</v>
      </c>
      <c r="F18" s="7">
        <v>0.183</v>
      </c>
      <c r="G18" s="7">
        <v>0.03</v>
      </c>
      <c r="H18" s="9">
        <f t="shared" si="0"/>
        <v>-0.448087431693989</v>
      </c>
    </row>
    <row r="19" spans="4:8">
      <c r="D19" s="8">
        <v>2022</v>
      </c>
      <c r="E19" s="7">
        <v>-0.2163</v>
      </c>
      <c r="F19" s="7">
        <v>0.2006</v>
      </c>
      <c r="G19" s="7">
        <v>0.03</v>
      </c>
      <c r="H19" s="9">
        <f t="shared" si="0"/>
        <v>-1.22781655034895</v>
      </c>
    </row>
    <row r="20" spans="4:8">
      <c r="D20" s="8">
        <v>2023</v>
      </c>
      <c r="E20" s="7">
        <v>-0.1138</v>
      </c>
      <c r="F20" s="7">
        <v>0.1324</v>
      </c>
      <c r="G20" s="7">
        <v>0.03</v>
      </c>
      <c r="H20" s="9">
        <f t="shared" si="0"/>
        <v>-1.08610271903323</v>
      </c>
    </row>
    <row r="21" spans="4:8">
      <c r="D21" s="8">
        <v>2024</v>
      </c>
      <c r="E21" s="7">
        <v>0.1468</v>
      </c>
      <c r="F21" s="7">
        <v>0.208</v>
      </c>
      <c r="G21" s="7">
        <v>0.03</v>
      </c>
      <c r="H21" s="9">
        <f t="shared" si="0"/>
        <v>0.561538461538461</v>
      </c>
    </row>
    <row r="22" spans="4:8">
      <c r="D22" s="8">
        <v>2025</v>
      </c>
      <c r="E22" s="7">
        <v>0.1766</v>
      </c>
      <c r="F22" s="7">
        <v>0.1483</v>
      </c>
      <c r="G22" s="7">
        <v>0.03</v>
      </c>
      <c r="H22" s="9">
        <f t="shared" si="0"/>
        <v>0.988536749831423</v>
      </c>
    </row>
  </sheetData>
  <mergeCells count="3">
    <mergeCell ref="A2:A22"/>
    <mergeCell ref="B2:B22"/>
    <mergeCell ref="C2:C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04"/>
  <sheetViews>
    <sheetView workbookViewId="0">
      <selection activeCell="H1" sqref="H$1:H$1048576"/>
    </sheetView>
  </sheetViews>
  <sheetFormatPr defaultColWidth="9" defaultRowHeight="13.5" outlineLevelCol="7"/>
  <cols>
    <col min="1" max="1" width="9.24778761061947" style="2" customWidth="1"/>
    <col min="2" max="2" width="16.8318584070796" style="2" customWidth="1"/>
    <col min="3" max="3" width="13.4336283185841" style="2" customWidth="1"/>
    <col min="4" max="4" width="5.53097345132743" style="2" customWidth="1"/>
    <col min="5" max="7" width="11.3097345132743" style="2" customWidth="1"/>
    <col min="8" max="8" width="13.4336283185841" style="3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5" t="s">
        <v>11</v>
      </c>
      <c r="B2" s="5" t="s">
        <v>12</v>
      </c>
      <c r="C2" s="5" t="s">
        <v>13</v>
      </c>
      <c r="D2" s="2">
        <v>2005</v>
      </c>
      <c r="E2" s="6">
        <v>-0.1399</v>
      </c>
      <c r="F2" s="6">
        <v>0.2544</v>
      </c>
      <c r="G2" s="7">
        <v>0.03</v>
      </c>
      <c r="H2" s="3">
        <f>(E2-G2)/F2</f>
        <v>-0.667845911949685</v>
      </c>
    </row>
    <row r="3" s="1" customFormat="1" spans="1:8">
      <c r="A3" s="5"/>
      <c r="B3" s="5"/>
      <c r="C3" s="5"/>
      <c r="D3" s="2">
        <v>2006</v>
      </c>
      <c r="E3" s="6">
        <v>1.0068</v>
      </c>
      <c r="F3" s="6">
        <v>0.2462</v>
      </c>
      <c r="G3" s="7">
        <v>0.03</v>
      </c>
      <c r="H3" s="3">
        <f t="shared" ref="H3:H22" si="0">(E3-G3)/F3</f>
        <v>3.96750609260764</v>
      </c>
    </row>
    <row r="4" s="1" customFormat="1" spans="1:8">
      <c r="A4" s="5"/>
      <c r="B4" s="5"/>
      <c r="C4" s="5"/>
      <c r="D4" s="2">
        <v>2007</v>
      </c>
      <c r="E4" s="6">
        <v>1.8663</v>
      </c>
      <c r="F4" s="6">
        <v>0.4164</v>
      </c>
      <c r="G4" s="7">
        <v>0.03</v>
      </c>
      <c r="H4" s="3">
        <f t="shared" si="0"/>
        <v>4.40994236311239</v>
      </c>
    </row>
    <row r="5" s="1" customFormat="1" spans="1:8">
      <c r="A5" s="5"/>
      <c r="B5" s="5"/>
      <c r="C5" s="5"/>
      <c r="D5" s="2">
        <v>2008</v>
      </c>
      <c r="E5" s="6">
        <v>-0.608</v>
      </c>
      <c r="F5" s="6">
        <v>0.5455</v>
      </c>
      <c r="G5" s="7">
        <v>0.03</v>
      </c>
      <c r="H5" s="3">
        <f t="shared" si="0"/>
        <v>-1.16956920256645</v>
      </c>
    </row>
    <row r="6" s="1" customFormat="1" spans="1:8">
      <c r="A6" s="5"/>
      <c r="B6" s="5"/>
      <c r="C6" s="5"/>
      <c r="D6" s="2">
        <v>2009</v>
      </c>
      <c r="E6" s="6">
        <v>1.3127</v>
      </c>
      <c r="F6" s="6">
        <v>0.3535</v>
      </c>
      <c r="G6" s="7">
        <v>0.03</v>
      </c>
      <c r="H6" s="3">
        <f t="shared" si="0"/>
        <v>3.62857142857143</v>
      </c>
    </row>
    <row r="7" s="1" customFormat="1" spans="1:8">
      <c r="A7" s="5"/>
      <c r="B7" s="5"/>
      <c r="C7" s="5"/>
      <c r="D7" s="2">
        <v>2010</v>
      </c>
      <c r="E7" s="6">
        <v>0.1007</v>
      </c>
      <c r="F7" s="6">
        <v>0.2834</v>
      </c>
      <c r="G7" s="7">
        <v>0.03</v>
      </c>
      <c r="H7" s="3">
        <f t="shared" si="0"/>
        <v>0.249470712773465</v>
      </c>
    </row>
    <row r="8" s="1" customFormat="1" spans="1:8">
      <c r="A8" s="5"/>
      <c r="B8" s="5"/>
      <c r="C8" s="5"/>
      <c r="D8" s="2">
        <v>2011</v>
      </c>
      <c r="E8" s="6">
        <v>-0.3383</v>
      </c>
      <c r="F8" s="6">
        <v>0.24</v>
      </c>
      <c r="G8" s="7">
        <v>0.03</v>
      </c>
      <c r="H8" s="3">
        <f t="shared" si="0"/>
        <v>-1.53458333333333</v>
      </c>
    </row>
    <row r="9" s="1" customFormat="1" spans="1:8">
      <c r="A9" s="5"/>
      <c r="B9" s="5"/>
      <c r="C9" s="5"/>
      <c r="D9" s="2">
        <v>2012</v>
      </c>
      <c r="E9" s="6">
        <v>0.0028</v>
      </c>
      <c r="F9" s="6">
        <v>0.2401</v>
      </c>
      <c r="G9" s="7">
        <v>0.03</v>
      </c>
      <c r="H9" s="3">
        <f t="shared" si="0"/>
        <v>-0.113286130778842</v>
      </c>
    </row>
    <row r="10" s="1" customFormat="1" spans="1:8">
      <c r="A10" s="5"/>
      <c r="B10" s="5"/>
      <c r="C10" s="5"/>
      <c r="D10" s="2">
        <v>2013</v>
      </c>
      <c r="E10" s="6">
        <v>0.1689</v>
      </c>
      <c r="F10" s="6">
        <v>0.2252</v>
      </c>
      <c r="G10" s="7">
        <v>0.03</v>
      </c>
      <c r="H10" s="3">
        <f t="shared" si="0"/>
        <v>0.616785079928952</v>
      </c>
    </row>
    <row r="11" s="1" customFormat="1" spans="1:8">
      <c r="A11" s="5"/>
      <c r="B11" s="5"/>
      <c r="C11" s="5"/>
      <c r="D11" s="2">
        <v>2014</v>
      </c>
      <c r="E11" s="6">
        <v>0.3901</v>
      </c>
      <c r="F11" s="6">
        <v>0.1946</v>
      </c>
      <c r="G11" s="7">
        <v>0.03</v>
      </c>
      <c r="H11" s="3">
        <f t="shared" si="0"/>
        <v>1.85046248715313</v>
      </c>
    </row>
    <row r="12" s="1" customFormat="1" spans="1:8">
      <c r="A12" s="5"/>
      <c r="B12" s="5"/>
      <c r="C12" s="5"/>
      <c r="D12" s="2">
        <v>2015</v>
      </c>
      <c r="E12" s="6">
        <v>0.4312</v>
      </c>
      <c r="F12" s="6">
        <v>0.4455</v>
      </c>
      <c r="G12" s="7">
        <v>0.03</v>
      </c>
      <c r="H12" s="3">
        <f t="shared" si="0"/>
        <v>0.900561167227834</v>
      </c>
    </row>
    <row r="13" s="1" customFormat="1" spans="1:8">
      <c r="A13" s="5"/>
      <c r="B13" s="5"/>
      <c r="C13" s="5"/>
      <c r="D13" s="2">
        <v>2016</v>
      </c>
      <c r="E13" s="6">
        <v>-0.1778</v>
      </c>
      <c r="F13" s="6">
        <v>0.2906</v>
      </c>
      <c r="G13" s="7">
        <v>0.03</v>
      </c>
      <c r="H13" s="3">
        <f t="shared" si="0"/>
        <v>-0.715072264280799</v>
      </c>
    </row>
    <row r="14" s="1" customFormat="1" spans="1:8">
      <c r="A14" s="5"/>
      <c r="B14" s="5"/>
      <c r="C14" s="5"/>
      <c r="D14" s="2">
        <v>2017</v>
      </c>
      <c r="E14" s="6">
        <v>-0.002</v>
      </c>
      <c r="F14" s="6">
        <v>0.1462</v>
      </c>
      <c r="G14" s="7">
        <v>0.03</v>
      </c>
      <c r="H14" s="3">
        <f t="shared" si="0"/>
        <v>-0.218878248974008</v>
      </c>
    </row>
    <row r="15" s="1" customFormat="1" spans="1:8">
      <c r="A15" s="5"/>
      <c r="B15" s="5"/>
      <c r="C15" s="5"/>
      <c r="D15" s="2">
        <v>2018</v>
      </c>
      <c r="E15" s="6">
        <v>-0.3332</v>
      </c>
      <c r="F15" s="6">
        <v>0.239</v>
      </c>
      <c r="G15" s="7">
        <v>0.03</v>
      </c>
      <c r="H15" s="3">
        <f t="shared" si="0"/>
        <v>-1.51966527196653</v>
      </c>
    </row>
    <row r="16" s="1" customFormat="1" spans="1:8">
      <c r="A16" s="5"/>
      <c r="B16" s="5"/>
      <c r="C16" s="5"/>
      <c r="D16" s="2">
        <v>2019</v>
      </c>
      <c r="E16" s="6">
        <v>0.2638</v>
      </c>
      <c r="F16" s="6">
        <v>0.2307</v>
      </c>
      <c r="G16" s="7">
        <v>0.03</v>
      </c>
      <c r="H16" s="3">
        <f t="shared" si="0"/>
        <v>1.0134373645427</v>
      </c>
    </row>
    <row r="17" s="1" customFormat="1" spans="1:8">
      <c r="A17" s="5"/>
      <c r="B17" s="5"/>
      <c r="C17" s="5"/>
      <c r="D17" s="2">
        <v>2020</v>
      </c>
      <c r="E17" s="6">
        <v>0.2087</v>
      </c>
      <c r="F17" s="6">
        <v>0.2542</v>
      </c>
      <c r="G17" s="7">
        <v>0.03</v>
      </c>
      <c r="H17" s="3">
        <f t="shared" si="0"/>
        <v>0.702989771833202</v>
      </c>
    </row>
    <row r="18" s="1" customFormat="1" spans="1:8">
      <c r="A18" s="5"/>
      <c r="B18" s="5"/>
      <c r="C18" s="5"/>
      <c r="D18" s="2">
        <v>2021</v>
      </c>
      <c r="E18" s="6">
        <v>0.1558</v>
      </c>
      <c r="F18" s="6">
        <v>0.1513</v>
      </c>
      <c r="G18" s="7">
        <v>0.03</v>
      </c>
      <c r="H18" s="3">
        <f t="shared" si="0"/>
        <v>0.831460674157303</v>
      </c>
    </row>
    <row r="19" s="1" customFormat="1" spans="1:8">
      <c r="A19" s="5"/>
      <c r="B19" s="5"/>
      <c r="C19" s="5"/>
      <c r="D19" s="2">
        <v>2022</v>
      </c>
      <c r="E19" s="6">
        <v>-0.2031</v>
      </c>
      <c r="F19" s="6">
        <v>0.2163</v>
      </c>
      <c r="G19" s="7">
        <v>0.03</v>
      </c>
      <c r="H19" s="3">
        <f t="shared" si="0"/>
        <v>-1.07766990291262</v>
      </c>
    </row>
    <row r="20" s="1" customFormat="1" spans="1:8">
      <c r="A20" s="5"/>
      <c r="B20" s="5"/>
      <c r="C20" s="5"/>
      <c r="D20" s="2">
        <v>2023</v>
      </c>
      <c r="E20" s="6">
        <v>-0.0742</v>
      </c>
      <c r="F20" s="6">
        <v>0.1282</v>
      </c>
      <c r="G20" s="7">
        <v>0.03</v>
      </c>
      <c r="H20" s="3">
        <f t="shared" si="0"/>
        <v>-0.812792511700468</v>
      </c>
    </row>
    <row r="21" s="1" customFormat="1" spans="1:8">
      <c r="A21" s="5"/>
      <c r="B21" s="5"/>
      <c r="C21" s="5"/>
      <c r="D21" s="2">
        <v>2024</v>
      </c>
      <c r="E21" s="6">
        <v>0.0546</v>
      </c>
      <c r="F21" s="6">
        <v>0.2822</v>
      </c>
      <c r="G21" s="7">
        <v>0.03</v>
      </c>
      <c r="H21" s="3">
        <f t="shared" si="0"/>
        <v>0.0871722182849043</v>
      </c>
    </row>
    <row r="22" s="1" customFormat="1" spans="1:8">
      <c r="A22" s="5"/>
      <c r="B22" s="5"/>
      <c r="C22" s="5"/>
      <c r="D22" s="2">
        <v>2025</v>
      </c>
      <c r="E22" s="6">
        <v>0.3039</v>
      </c>
      <c r="F22" s="6">
        <v>0.1971</v>
      </c>
      <c r="G22" s="7">
        <v>0.03</v>
      </c>
      <c r="H22" s="3">
        <f t="shared" si="0"/>
        <v>1.3896499238965</v>
      </c>
    </row>
    <row r="5103" s="1" customFormat="1" spans="1:8">
      <c r="A5103" s="2"/>
      <c r="B5103" s="2"/>
      <c r="C5103" s="2"/>
      <c r="D5103" s="2"/>
      <c r="E5103" s="2"/>
      <c r="F5103" s="2"/>
      <c r="G5103" s="2"/>
      <c r="H5103" s="3"/>
    </row>
    <row r="5104" s="1" customFormat="1" spans="1:8">
      <c r="A5104" s="2"/>
      <c r="B5104" s="2"/>
      <c r="C5104" s="2"/>
      <c r="D5104" s="2"/>
      <c r="E5104" s="2"/>
      <c r="F5104" s="2"/>
      <c r="G5104" s="2"/>
      <c r="H5104" s="3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04"/>
  <sheetViews>
    <sheetView workbookViewId="0">
      <selection activeCell="I10" sqref="I10"/>
    </sheetView>
  </sheetViews>
  <sheetFormatPr defaultColWidth="9" defaultRowHeight="13.5" outlineLevelCol="7"/>
  <cols>
    <col min="1" max="1" width="9.24778761061947" style="2" customWidth="1"/>
    <col min="2" max="2" width="13.646017699115" style="2" customWidth="1"/>
    <col min="3" max="3" width="13.4336283185841" style="2" customWidth="1"/>
    <col min="4" max="4" width="5.53097345132743" style="2" customWidth="1"/>
    <col min="5" max="7" width="11.3097345132743" style="2" customWidth="1"/>
    <col min="8" max="8" width="13.4336283185841" style="3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5" t="s">
        <v>14</v>
      </c>
      <c r="B2" s="5" t="s">
        <v>15</v>
      </c>
      <c r="C2" s="5" t="s">
        <v>16</v>
      </c>
      <c r="D2" s="2">
        <v>2005</v>
      </c>
      <c r="E2" s="6">
        <v>-0.1487</v>
      </c>
      <c r="F2" s="6">
        <v>0.2872</v>
      </c>
      <c r="G2" s="7">
        <v>0.03</v>
      </c>
      <c r="H2" s="3">
        <f>(E2-G2)/F2</f>
        <v>-0.622214484679666</v>
      </c>
    </row>
    <row r="3" s="1" customFormat="1" spans="1:8">
      <c r="A3" s="5"/>
      <c r="B3" s="5"/>
      <c r="C3" s="5"/>
      <c r="D3" s="2">
        <v>2006</v>
      </c>
      <c r="E3" s="6">
        <v>0.7622</v>
      </c>
      <c r="F3" s="6">
        <v>0.2423</v>
      </c>
      <c r="G3" s="7">
        <v>0.03</v>
      </c>
      <c r="H3" s="3">
        <f t="shared" ref="H3:H22" si="0">(E3-G3)/F3</f>
        <v>3.02187371027652</v>
      </c>
    </row>
    <row r="4" s="1" customFormat="1" spans="1:8">
      <c r="A4" s="5"/>
      <c r="B4" s="5"/>
      <c r="C4" s="5"/>
      <c r="D4" s="2">
        <v>2007</v>
      </c>
      <c r="E4" s="6">
        <v>2.0257</v>
      </c>
      <c r="F4" s="6">
        <v>0.4007</v>
      </c>
      <c r="G4" s="7">
        <v>0.03</v>
      </c>
      <c r="H4" s="3">
        <f t="shared" si="0"/>
        <v>4.98053406538558</v>
      </c>
    </row>
    <row r="5" s="1" customFormat="1" spans="1:8">
      <c r="A5" s="5"/>
      <c r="B5" s="5"/>
      <c r="C5" s="5"/>
      <c r="D5" s="2">
        <v>2008</v>
      </c>
      <c r="E5" s="6">
        <v>-0.5926</v>
      </c>
      <c r="F5" s="6">
        <v>0.5456</v>
      </c>
      <c r="G5" s="7">
        <v>0.03</v>
      </c>
      <c r="H5" s="3">
        <f t="shared" si="0"/>
        <v>-1.14112903225806</v>
      </c>
    </row>
    <row r="6" s="1" customFormat="1" spans="1:8">
      <c r="A6" s="5"/>
      <c r="B6" s="5"/>
      <c r="C6" s="5"/>
      <c r="D6" s="2">
        <v>2009</v>
      </c>
      <c r="E6" s="6">
        <v>1.3985</v>
      </c>
      <c r="F6" s="6">
        <v>0.3556</v>
      </c>
      <c r="G6" s="7">
        <v>0.03</v>
      </c>
      <c r="H6" s="3">
        <f t="shared" si="0"/>
        <v>3.84842519685039</v>
      </c>
    </row>
    <row r="7" s="1" customFormat="1" spans="1:8">
      <c r="A7" s="5"/>
      <c r="B7" s="5"/>
      <c r="C7" s="5"/>
      <c r="D7" s="2">
        <v>2010</v>
      </c>
      <c r="E7" s="6">
        <v>0.174</v>
      </c>
      <c r="F7" s="6">
        <v>0.2875</v>
      </c>
      <c r="G7" s="7">
        <v>0.03</v>
      </c>
      <c r="H7" s="3">
        <f t="shared" si="0"/>
        <v>0.500869565217391</v>
      </c>
    </row>
    <row r="8" s="1" customFormat="1" spans="1:8">
      <c r="A8" s="5"/>
      <c r="B8" s="5"/>
      <c r="C8" s="5"/>
      <c r="D8" s="2">
        <v>2011</v>
      </c>
      <c r="E8" s="6">
        <v>-0.3296</v>
      </c>
      <c r="F8" s="6">
        <v>0.2498</v>
      </c>
      <c r="G8" s="7">
        <v>0.03</v>
      </c>
      <c r="H8" s="3">
        <f t="shared" si="0"/>
        <v>-1.43955164131305</v>
      </c>
    </row>
    <row r="9" s="1" customFormat="1" spans="1:8">
      <c r="A9" s="5"/>
      <c r="B9" s="5"/>
      <c r="C9" s="5"/>
      <c r="D9" s="2">
        <v>2012</v>
      </c>
      <c r="E9" s="6">
        <v>-0.0143</v>
      </c>
      <c r="F9" s="6">
        <v>0.2551</v>
      </c>
      <c r="G9" s="7">
        <v>0.03</v>
      </c>
      <c r="H9" s="3">
        <f t="shared" si="0"/>
        <v>-0.173657389259114</v>
      </c>
    </row>
    <row r="10" s="1" customFormat="1" spans="1:8">
      <c r="A10" s="5"/>
      <c r="B10" s="5"/>
      <c r="C10" s="5"/>
      <c r="D10" s="2">
        <v>2013</v>
      </c>
      <c r="E10" s="6">
        <v>0.3159</v>
      </c>
      <c r="F10" s="6">
        <v>0.2344</v>
      </c>
      <c r="G10" s="7">
        <v>0.03</v>
      </c>
      <c r="H10" s="3">
        <f t="shared" si="0"/>
        <v>1.21970989761092</v>
      </c>
    </row>
    <row r="11" s="1" customFormat="1" spans="1:8">
      <c r="A11" s="5"/>
      <c r="B11" s="5"/>
      <c r="C11" s="5"/>
      <c r="D11" s="2">
        <v>2014</v>
      </c>
      <c r="E11" s="6">
        <v>0.3446</v>
      </c>
      <c r="F11" s="6">
        <v>0.2106</v>
      </c>
      <c r="G11" s="7">
        <v>0.03</v>
      </c>
      <c r="H11" s="3">
        <f t="shared" si="0"/>
        <v>1.49382716049383</v>
      </c>
    </row>
    <row r="12" s="1" customFormat="1" spans="1:8">
      <c r="A12" s="5"/>
      <c r="B12" s="5"/>
      <c r="C12" s="5"/>
      <c r="D12" s="2">
        <v>2015</v>
      </c>
      <c r="E12" s="6">
        <v>0.761</v>
      </c>
      <c r="F12" s="6">
        <v>0.4621</v>
      </c>
      <c r="G12" s="7">
        <v>0.03</v>
      </c>
      <c r="H12" s="3">
        <f t="shared" si="0"/>
        <v>1.58190867777537</v>
      </c>
    </row>
    <row r="13" s="1" customFormat="1" spans="1:8">
      <c r="A13" s="5"/>
      <c r="B13" s="5"/>
      <c r="C13" s="5"/>
      <c r="D13" s="2">
        <v>2016</v>
      </c>
      <c r="E13" s="6">
        <v>-0.2001</v>
      </c>
      <c r="F13" s="6">
        <v>0.3177</v>
      </c>
      <c r="G13" s="7">
        <v>0.03</v>
      </c>
      <c r="H13" s="3">
        <f t="shared" si="0"/>
        <v>-0.724268177525968</v>
      </c>
    </row>
    <row r="14" s="1" customFormat="1" spans="1:8">
      <c r="A14" s="5"/>
      <c r="B14" s="5"/>
      <c r="C14" s="5"/>
      <c r="D14" s="2">
        <v>2017</v>
      </c>
      <c r="E14" s="6">
        <v>-0.1735</v>
      </c>
      <c r="F14" s="6">
        <v>0.162</v>
      </c>
      <c r="G14" s="7">
        <v>0.03</v>
      </c>
      <c r="H14" s="3">
        <f t="shared" si="0"/>
        <v>-1.25617283950617</v>
      </c>
    </row>
    <row r="15" s="1" customFormat="1" spans="1:8">
      <c r="A15" s="5"/>
      <c r="B15" s="5"/>
      <c r="C15" s="5"/>
      <c r="D15" s="2">
        <v>2018</v>
      </c>
      <c r="E15" s="6">
        <v>-0.3687</v>
      </c>
      <c r="F15" s="6">
        <v>0.2474</v>
      </c>
      <c r="G15" s="7">
        <v>0.03</v>
      </c>
      <c r="H15" s="3">
        <f t="shared" si="0"/>
        <v>-1.61156022635408</v>
      </c>
    </row>
    <row r="16" s="1" customFormat="1" spans="1:8">
      <c r="A16" s="5"/>
      <c r="B16" s="5"/>
      <c r="C16" s="5"/>
      <c r="D16" s="2">
        <v>2019</v>
      </c>
      <c r="E16" s="6">
        <v>0.2567</v>
      </c>
      <c r="F16" s="6">
        <v>0.2469</v>
      </c>
      <c r="G16" s="7">
        <v>0.03</v>
      </c>
      <c r="H16" s="3">
        <f t="shared" si="0"/>
        <v>0.918185500202511</v>
      </c>
    </row>
    <row r="17" s="1" customFormat="1" spans="1:8">
      <c r="A17" s="5"/>
      <c r="B17" s="5"/>
      <c r="C17" s="5"/>
      <c r="D17" s="2">
        <v>2020</v>
      </c>
      <c r="E17" s="6">
        <v>0.1939</v>
      </c>
      <c r="F17" s="6">
        <v>0.2717</v>
      </c>
      <c r="G17" s="7">
        <v>0.03</v>
      </c>
      <c r="H17" s="3">
        <f t="shared" si="0"/>
        <v>0.603238866396761</v>
      </c>
    </row>
    <row r="18" s="1" customFormat="1" spans="1:8">
      <c r="A18" s="5"/>
      <c r="B18" s="5"/>
      <c r="C18" s="5"/>
      <c r="D18" s="2">
        <v>2021</v>
      </c>
      <c r="E18" s="6">
        <v>0.2052</v>
      </c>
      <c r="F18" s="6">
        <v>0.1873</v>
      </c>
      <c r="G18" s="7">
        <v>0.03</v>
      </c>
      <c r="H18" s="3">
        <f t="shared" si="0"/>
        <v>0.935397757608115</v>
      </c>
    </row>
    <row r="19" s="1" customFormat="1" spans="1:8">
      <c r="A19" s="5"/>
      <c r="B19" s="5"/>
      <c r="C19" s="5"/>
      <c r="D19" s="2">
        <v>2022</v>
      </c>
      <c r="E19" s="6">
        <v>-0.2158</v>
      </c>
      <c r="F19" s="6">
        <v>0.2501</v>
      </c>
      <c r="G19" s="7">
        <v>0.03</v>
      </c>
      <c r="H19" s="3">
        <f t="shared" si="0"/>
        <v>-0.9828068772491</v>
      </c>
    </row>
    <row r="20" s="1" customFormat="1" spans="1:8">
      <c r="A20" s="5"/>
      <c r="B20" s="5"/>
      <c r="C20" s="5"/>
      <c r="D20" s="2">
        <v>2023</v>
      </c>
      <c r="E20" s="6">
        <v>-0.0628</v>
      </c>
      <c r="F20" s="6">
        <v>0.147</v>
      </c>
      <c r="G20" s="7">
        <v>0.03</v>
      </c>
      <c r="H20" s="3">
        <f t="shared" si="0"/>
        <v>-0.631292517006803</v>
      </c>
    </row>
    <row r="21" s="1" customFormat="1" spans="1:8">
      <c r="A21" s="5"/>
      <c r="B21" s="5"/>
      <c r="C21" s="5"/>
      <c r="D21" s="2">
        <v>2024</v>
      </c>
      <c r="E21" s="6">
        <v>0.012</v>
      </c>
      <c r="F21" s="6">
        <v>0.3291</v>
      </c>
      <c r="G21" s="7">
        <v>0.03</v>
      </c>
      <c r="H21" s="3">
        <f t="shared" si="0"/>
        <v>-0.0546946216955333</v>
      </c>
    </row>
    <row r="22" s="1" customFormat="1" spans="1:8">
      <c r="A22" s="5"/>
      <c r="B22" s="5"/>
      <c r="C22" s="5"/>
      <c r="D22" s="2">
        <v>2025</v>
      </c>
      <c r="E22" s="6">
        <v>0.2749</v>
      </c>
      <c r="F22" s="6">
        <v>0.2192</v>
      </c>
      <c r="G22" s="7">
        <v>0.03</v>
      </c>
      <c r="H22" s="3">
        <f t="shared" si="0"/>
        <v>1.11724452554745</v>
      </c>
    </row>
    <row r="5103" s="1" customFormat="1" spans="1:8">
      <c r="A5103" s="2"/>
      <c r="B5103" s="2"/>
      <c r="C5103" s="2"/>
      <c r="D5103" s="2"/>
      <c r="E5103" s="2"/>
      <c r="F5103" s="2"/>
      <c r="G5103" s="2"/>
      <c r="H5103" s="3"/>
    </row>
    <row r="5104" s="1" customFormat="1" spans="1:8">
      <c r="A5104" s="2"/>
      <c r="B5104" s="2"/>
      <c r="C5104" s="2"/>
      <c r="D5104" s="2"/>
      <c r="E5104" s="2"/>
      <c r="F5104" s="2"/>
      <c r="G5104" s="2"/>
      <c r="H5104" s="3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12"/>
  <sheetViews>
    <sheetView tabSelected="1" workbookViewId="0">
      <selection activeCell="G25" sqref="G25"/>
    </sheetView>
  </sheetViews>
  <sheetFormatPr defaultColWidth="9" defaultRowHeight="13.5" outlineLevelCol="7"/>
  <cols>
    <col min="1" max="1" width="9.24778761061947" style="2" customWidth="1"/>
    <col min="2" max="2" width="13.646017699115" style="2" customWidth="1"/>
    <col min="3" max="3" width="13.4336283185841" style="2" customWidth="1"/>
    <col min="4" max="4" width="5.53097345132743" style="2" customWidth="1"/>
    <col min="5" max="7" width="11.3097345132743" style="2" customWidth="1"/>
    <col min="8" max="8" width="13.4336283185841" style="3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5" t="s">
        <v>17</v>
      </c>
      <c r="B2" s="5" t="s">
        <v>18</v>
      </c>
      <c r="C2" s="5" t="s">
        <v>19</v>
      </c>
      <c r="D2" s="2">
        <v>2014</v>
      </c>
      <c r="E2" s="6">
        <v>0.5354</v>
      </c>
      <c r="F2" s="6">
        <v>0.2175</v>
      </c>
      <c r="G2" s="7">
        <v>0.03</v>
      </c>
      <c r="H2" s="3">
        <f>(E2-G2)/F2</f>
        <v>2.32367816091954</v>
      </c>
    </row>
    <row r="3" s="1" customFormat="1" spans="1:8">
      <c r="A3" s="5"/>
      <c r="B3" s="5"/>
      <c r="C3" s="5"/>
      <c r="D3" s="2">
        <v>2015</v>
      </c>
      <c r="E3" s="6">
        <v>1.0978</v>
      </c>
      <c r="F3" s="6">
        <v>0.4497</v>
      </c>
      <c r="G3" s="7">
        <v>0.03</v>
      </c>
      <c r="H3" s="3">
        <f t="shared" ref="H3:H13" si="0">(E3-G3)/F3</f>
        <v>2.37447187013565</v>
      </c>
    </row>
    <row r="4" s="1" customFormat="1" spans="1:8">
      <c r="A4" s="5"/>
      <c r="B4" s="5"/>
      <c r="C4" s="5"/>
      <c r="D4" s="2">
        <v>2016</v>
      </c>
      <c r="E4" s="6">
        <v>-0.0763</v>
      </c>
      <c r="F4" s="6">
        <v>0.3114</v>
      </c>
      <c r="G4" s="7">
        <v>0.03</v>
      </c>
      <c r="H4" s="3">
        <f t="shared" si="0"/>
        <v>-0.341361592806679</v>
      </c>
    </row>
    <row r="5" s="1" customFormat="1" spans="1:8">
      <c r="A5" s="5"/>
      <c r="B5" s="5"/>
      <c r="C5" s="5"/>
      <c r="D5" s="2">
        <v>2017</v>
      </c>
      <c r="E5" s="6">
        <v>-0.241</v>
      </c>
      <c r="F5" s="6">
        <v>0.1733</v>
      </c>
      <c r="G5" s="7">
        <v>0.03</v>
      </c>
      <c r="H5" s="3">
        <f t="shared" si="0"/>
        <v>-1.56376226197346</v>
      </c>
    </row>
    <row r="6" s="1" customFormat="1" spans="1:8">
      <c r="A6" s="5"/>
      <c r="B6" s="5"/>
      <c r="C6" s="5"/>
      <c r="D6" s="2">
        <v>2018</v>
      </c>
      <c r="E6" s="6">
        <v>-0.3334</v>
      </c>
      <c r="F6" s="6">
        <v>0.2536</v>
      </c>
      <c r="G6" s="7">
        <v>0.03</v>
      </c>
      <c r="H6" s="3">
        <f t="shared" si="0"/>
        <v>-1.43296529968454</v>
      </c>
    </row>
    <row r="7" s="1" customFormat="1" spans="1:8">
      <c r="A7" s="5"/>
      <c r="B7" s="5"/>
      <c r="C7" s="5"/>
      <c r="D7" s="2">
        <v>2019</v>
      </c>
      <c r="E7" s="6">
        <v>0.2196</v>
      </c>
      <c r="F7" s="6">
        <v>0.2515</v>
      </c>
      <c r="G7" s="7">
        <v>0.03</v>
      </c>
      <c r="H7" s="3">
        <f t="shared" si="0"/>
        <v>0.753876739562624</v>
      </c>
    </row>
    <row r="8" s="1" customFormat="1" spans="1:8">
      <c r="A8" s="5"/>
      <c r="B8" s="5"/>
      <c r="C8" s="5"/>
      <c r="D8" s="2">
        <v>2020</v>
      </c>
      <c r="E8" s="6">
        <v>0.1539</v>
      </c>
      <c r="F8" s="6">
        <v>0.269</v>
      </c>
      <c r="G8" s="7">
        <v>0.03</v>
      </c>
      <c r="H8" s="3">
        <f t="shared" si="0"/>
        <v>0.460594795539034</v>
      </c>
    </row>
    <row r="9" s="1" customFormat="1" spans="1:8">
      <c r="A9" s="5"/>
      <c r="B9" s="5"/>
      <c r="C9" s="5"/>
      <c r="D9" s="2">
        <v>2021</v>
      </c>
      <c r="E9" s="6">
        <v>0.2589</v>
      </c>
      <c r="F9" s="6">
        <v>0.1912</v>
      </c>
      <c r="G9" s="7">
        <v>0.03</v>
      </c>
      <c r="H9" s="3">
        <f t="shared" si="0"/>
        <v>1.19717573221757</v>
      </c>
    </row>
    <row r="10" s="1" customFormat="1" spans="1:8">
      <c r="A10" s="5"/>
      <c r="B10" s="5"/>
      <c r="C10" s="5"/>
      <c r="D10" s="2">
        <v>2022</v>
      </c>
      <c r="E10" s="6">
        <v>-0.1477</v>
      </c>
      <c r="F10" s="6">
        <v>0.2621</v>
      </c>
      <c r="G10" s="7">
        <v>0.03</v>
      </c>
      <c r="H10" s="3">
        <f t="shared" si="0"/>
        <v>-0.677985501716902</v>
      </c>
    </row>
    <row r="11" s="1" customFormat="1" spans="1:8">
      <c r="A11" s="5"/>
      <c r="B11" s="5"/>
      <c r="C11" s="5"/>
      <c r="D11" s="2">
        <v>2023</v>
      </c>
      <c r="E11" s="6">
        <v>0.0557</v>
      </c>
      <c r="F11" s="6">
        <v>0.1619</v>
      </c>
      <c r="G11" s="7">
        <v>0.03</v>
      </c>
      <c r="H11" s="3">
        <f t="shared" si="0"/>
        <v>0.158739962940086</v>
      </c>
    </row>
    <row r="12" s="1" customFormat="1" spans="1:8">
      <c r="A12" s="5"/>
      <c r="B12" s="5"/>
      <c r="C12" s="5"/>
      <c r="D12" s="2">
        <v>2024</v>
      </c>
      <c r="E12" s="6">
        <v>-0.0214</v>
      </c>
      <c r="F12" s="6">
        <v>0.3835</v>
      </c>
      <c r="G12" s="7">
        <v>0.03</v>
      </c>
      <c r="H12" s="3">
        <f t="shared" si="0"/>
        <v>-0.134028683181226</v>
      </c>
    </row>
    <row r="13" s="1" customFormat="1" spans="1:8">
      <c r="A13" s="5"/>
      <c r="B13" s="5"/>
      <c r="C13" s="5"/>
      <c r="D13" s="2">
        <v>2025</v>
      </c>
      <c r="E13" s="6">
        <v>0.3642</v>
      </c>
      <c r="F13" s="6">
        <v>0.2504</v>
      </c>
      <c r="G13" s="7">
        <v>0.03</v>
      </c>
      <c r="H13" s="3">
        <f t="shared" si="0"/>
        <v>1.33466453674121</v>
      </c>
    </row>
    <row r="14" spans="1:8">
      <c r="G14" s="7"/>
    </row>
    <row r="15" spans="1:8">
      <c r="G15" s="7"/>
    </row>
    <row r="16" spans="1:8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  <row r="22" spans="7:7">
      <c r="G22" s="7"/>
    </row>
    <row r="2911" s="1" customFormat="1" spans="1:8">
      <c r="A2911" s="2"/>
      <c r="B2911" s="2"/>
      <c r="C2911" s="2"/>
      <c r="D2911" s="2"/>
      <c r="E2911" s="2"/>
      <c r="F2911" s="2"/>
      <c r="G2911" s="2"/>
      <c r="H2911" s="3"/>
    </row>
    <row r="2912" s="1" customFormat="1" spans="1:8">
      <c r="A2912" s="2"/>
      <c r="B2912" s="2"/>
      <c r="C2912" s="2"/>
      <c r="D2912" s="2"/>
      <c r="E2912" s="2"/>
      <c r="F2912" s="2"/>
      <c r="G2912" s="2"/>
      <c r="H2912" s="3"/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沪深300</vt:lpstr>
      <vt:lpstr>中证500</vt:lpstr>
      <vt:lpstr>中证1000</vt:lpstr>
      <vt:lpstr>中证2000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2026-02-01T10:33:25Z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75A721CD77E04D56A5FC3F1414DAF475_12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