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32" windowHeight="9510"/>
  </bookViews>
  <sheets>
    <sheet name="科创50" sheetId="1" r:id="rId1"/>
    <sheet name="科创100" sheetId="2" r:id="rId2"/>
    <sheet name="科创200" sheetId="3" r:id="rId3"/>
    <sheet name="科创综指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<sst xmlns="http://schemas.openxmlformats.org/spreadsheetml/2006/main" count="44" uniqueCount="20">
  <si>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</si>
  <si>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</si>
  <si>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</si>
  <si>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</si>
  <si>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</si>
  <si>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</si>
  <si>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</si>
  <si>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</si>
  <si>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000688</t>
  </si>
  <si>
    <t>上证科创板50成份指数</t>
  </si>
  <si>
    <t>科创50</t>
  </si>
  <si>
    <t>000698</t>
  </si>
  <si>
    <t>上证科创板100指数</t>
  </si>
  <si>
    <t>科创100</t>
  </si>
  <si>
    <t>000699</t>
  </si>
  <si>
    <t>上证科创板200指数</t>
  </si>
  <si>
    <t>科创200</t>
  </si>
  <si>
    <t>000680</t>
  </si>
  <si>
    <t>上证科创板综合指数</t>
  </si>
  <si>
    <t>科创综指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</si>
</sst>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top"/>
    </xf>
    <xf numFmtId="176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left" vertical="center"/>
    </xf>
    <xf numFmtId="10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10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top"/>
    </xf>
    <xf numFmtId="176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G16" sqref="G16"/>
    </sheetView>
  </sheetViews>
  <sheetFormatPr defaultColWidth="9" defaultRowHeight="13.5" outlineLevelRow="6" outlineLevelCol="7"/>
  <cols>
    <col min="1" max="1" width="9.24778761061947" style="11" customWidth="1"/>
    <col min="2" max="2" width="22.1504424778761" style="11" customWidth="1"/>
    <col min="3" max="3" width="13.4336283185841" style="11" customWidth="1"/>
    <col min="4" max="4" width="5.53097345132743" style="11" customWidth="1"/>
    <col min="5" max="7" width="11.3097345132743" style="11" customWidth="1"/>
    <col min="8" max="8" width="13.4336283185841" style="1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13" t="s">
        <v>8</v>
      </c>
      <c r="B2" s="13" t="s">
        <v>9</v>
      </c>
      <c r="C2" s="13" t="s">
        <v>10</v>
      </c>
      <c r="D2" s="11">
        <v>2020</v>
      </c>
      <c r="E2" s="14">
        <v>0.393</v>
      </c>
      <c r="F2" s="14">
        <v>0.4393</v>
      </c>
      <c r="G2" s="7">
        <v>0.03</v>
      </c>
      <c r="H2" s="12">
        <f>(E2-G2)/F2</f>
        <v>0.826314591395402</v>
      </c>
    </row>
    <row r="3" spans="1:8">
      <c r="A3" s="13"/>
      <c r="B3" s="13"/>
      <c r="C3" s="13"/>
      <c r="D3" s="11">
        <v>2021</v>
      </c>
      <c r="E3" s="14">
        <v>0.0037</v>
      </c>
      <c r="F3" s="14">
        <v>0.2411</v>
      </c>
      <c r="G3" s="7">
        <v>0.03</v>
      </c>
      <c r="H3" s="12">
        <f>(E3-G3)/F3</f>
        <v>-0.109083367897138</v>
      </c>
    </row>
    <row r="4" spans="1:8">
      <c r="A4" s="13"/>
      <c r="B4" s="13"/>
      <c r="C4" s="13"/>
      <c r="D4" s="11">
        <v>2022</v>
      </c>
      <c r="E4" s="14">
        <v>-0.3135</v>
      </c>
      <c r="F4" s="14">
        <v>0.268</v>
      </c>
      <c r="G4" s="7">
        <v>0.03</v>
      </c>
      <c r="H4" s="12">
        <f>(E4-G4)/F4</f>
        <v>-1.28171641791045</v>
      </c>
    </row>
    <row r="5" spans="1:8">
      <c r="A5" s="13"/>
      <c r="B5" s="13"/>
      <c r="C5" s="13"/>
      <c r="D5" s="11">
        <v>2023</v>
      </c>
      <c r="E5" s="14">
        <v>-0.1124</v>
      </c>
      <c r="F5" s="14">
        <v>0.1978</v>
      </c>
      <c r="G5" s="7">
        <v>0.03</v>
      </c>
      <c r="H5" s="12">
        <f>(E5-G5)/F5</f>
        <v>-0.719919110212336</v>
      </c>
    </row>
    <row r="6" spans="1:8">
      <c r="A6" s="13"/>
      <c r="B6" s="13"/>
      <c r="C6" s="13"/>
      <c r="D6" s="11">
        <v>2024</v>
      </c>
      <c r="E6" s="14">
        <v>0.1607</v>
      </c>
      <c r="F6" s="14">
        <v>0.3821</v>
      </c>
      <c r="G6" s="7">
        <v>0.03</v>
      </c>
      <c r="H6" s="12">
        <f>(E6-G6)/F6</f>
        <v>0.342057053127454</v>
      </c>
    </row>
    <row r="7" spans="1:8">
      <c r="A7" s="13"/>
      <c r="B7" s="13"/>
      <c r="C7" s="13"/>
      <c r="D7" s="11">
        <v>2025</v>
      </c>
      <c r="E7" s="14">
        <v>0.3592</v>
      </c>
      <c r="F7" s="14">
        <v>0.2908</v>
      </c>
      <c r="G7" s="7">
        <v>0.03</v>
      </c>
      <c r="H7" s="12">
        <f>(E7-G7)/F7</f>
        <v>1.13204951856946</v>
      </c>
    </row>
  </sheetData>
  <mergeCells count="3">
    <mergeCell ref="A2:A7"/>
    <mergeCell ref="B2:B7"/>
    <mergeCell ref="C2:C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F10" sqref="F10"/>
    </sheetView>
  </sheetViews>
  <sheetFormatPr defaultColWidth="9.02654867256637" defaultRowHeight="13.5" outlineLevelRow="6" outlineLevelCol="7"/>
  <cols>
    <col min="1" max="1" width="9.24778761061947" style="8" customWidth="1"/>
    <col min="2" max="2" width="18.9646017699115" style="8" customWidth="1"/>
    <col min="3" max="3" width="13.4336283185841" style="8" customWidth="1"/>
    <col min="4" max="4" width="5.53097345132743" style="8" customWidth="1"/>
    <col min="5" max="7" width="11.3097345132743" style="8" customWidth="1"/>
    <col min="8" max="8" width="13.4336283185841" style="9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11</v>
      </c>
      <c r="B2" s="5" t="s">
        <v>12</v>
      </c>
      <c r="C2" s="5" t="s">
        <v>13</v>
      </c>
      <c r="D2" s="8">
        <v>2020</v>
      </c>
      <c r="E2" s="10">
        <v>0.3028</v>
      </c>
      <c r="F2" s="10">
        <v>0.4008</v>
      </c>
      <c r="G2" s="7">
        <v>0.03</v>
      </c>
      <c r="H2" s="9">
        <f>(E2-G2)/F2</f>
        <v>0.68063872255489</v>
      </c>
    </row>
    <row r="3" spans="1:8">
      <c r="A3" s="5"/>
      <c r="B3" s="5"/>
      <c r="C3" s="5"/>
      <c r="D3" s="8">
        <v>2021</v>
      </c>
      <c r="E3" s="10">
        <v>0.3164</v>
      </c>
      <c r="F3" s="10">
        <v>0.2686</v>
      </c>
      <c r="G3" s="7">
        <v>0.03</v>
      </c>
      <c r="H3" s="9">
        <f>(E3-G3)/F3</f>
        <v>1.066269545793</v>
      </c>
    </row>
    <row r="4" spans="1:8">
      <c r="A4" s="5"/>
      <c r="B4" s="5"/>
      <c r="C4" s="5"/>
      <c r="D4" s="8">
        <v>2022</v>
      </c>
      <c r="E4" s="10">
        <v>-0.3126</v>
      </c>
      <c r="F4" s="10">
        <v>0.3155</v>
      </c>
      <c r="G4" s="7">
        <v>0.03</v>
      </c>
      <c r="H4" s="9">
        <f>(E4-G4)/F4</f>
        <v>-1.08589540412044</v>
      </c>
    </row>
    <row r="5" spans="1:8">
      <c r="A5" s="5"/>
      <c r="B5" s="5"/>
      <c r="C5" s="5"/>
      <c r="D5" s="8">
        <v>2023</v>
      </c>
      <c r="E5" s="10">
        <v>-0.1253</v>
      </c>
      <c r="F5" s="10">
        <v>0.1939</v>
      </c>
      <c r="G5" s="7">
        <v>0.03</v>
      </c>
      <c r="H5" s="9">
        <f>(E5-G5)/F5</f>
        <v>-0.800928313563693</v>
      </c>
    </row>
    <row r="6" spans="1:8">
      <c r="A6" s="5"/>
      <c r="B6" s="5"/>
      <c r="C6" s="5"/>
      <c r="D6" s="8">
        <v>2024</v>
      </c>
      <c r="E6" s="10">
        <v>-0.0856</v>
      </c>
      <c r="F6" s="10">
        <v>0.4241</v>
      </c>
      <c r="G6" s="7">
        <v>0.03</v>
      </c>
      <c r="H6" s="9">
        <f>(E6-G6)/F6</f>
        <v>-0.272577222353219</v>
      </c>
    </row>
    <row r="7" spans="1:8">
      <c r="A7" s="5"/>
      <c r="B7" s="5"/>
      <c r="C7" s="5"/>
      <c r="D7" s="8">
        <v>2025</v>
      </c>
      <c r="E7" s="10">
        <v>0.5463</v>
      </c>
      <c r="F7" s="10">
        <v>0.2945</v>
      </c>
      <c r="G7" s="7">
        <v>0.03</v>
      </c>
      <c r="H7" s="9">
        <f>(E7-G7)/F7</f>
        <v>1.75314091680815</v>
      </c>
    </row>
  </sheetData>
  <mergeCells count="3">
    <mergeCell ref="A2:A7"/>
    <mergeCell ref="B2:B7"/>
    <mergeCell ref="C2:C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F8" sqref="F8"/>
    </sheetView>
  </sheetViews>
  <sheetFormatPr defaultColWidth="9.02654867256637" defaultRowHeight="13.5" outlineLevelRow="6" outlineLevelCol="7"/>
  <cols>
    <col min="1" max="1" width="9.24778761061947" style="8" customWidth="1"/>
    <col min="2" max="2" width="18.9646017699115" style="8" customWidth="1"/>
    <col min="3" max="3" width="13.4336283185841" style="8" customWidth="1"/>
    <col min="4" max="4" width="5.53097345132743" style="8" customWidth="1"/>
    <col min="5" max="7" width="11.3097345132743" style="8" customWidth="1"/>
    <col min="8" max="8" width="13.4336283185841" style="9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14</v>
      </c>
      <c r="B2" s="5" t="s">
        <v>15</v>
      </c>
      <c r="C2" s="5" t="s">
        <v>16</v>
      </c>
      <c r="D2" s="8">
        <v>2023</v>
      </c>
      <c r="E2" s="10">
        <v>-0.0478</v>
      </c>
      <c r="F2" s="10">
        <v>0.2161</v>
      </c>
      <c r="G2" s="7">
        <v>0.03</v>
      </c>
      <c r="H2" s="9">
        <f>(E2-G2)/F2</f>
        <v>-0.360018509949098</v>
      </c>
    </row>
    <row r="3" spans="1:8">
      <c r="A3" s="5"/>
      <c r="B3" s="5"/>
      <c r="C3" s="5"/>
      <c r="D3" s="8">
        <v>2024</v>
      </c>
      <c r="E3" s="10">
        <v>-0.13</v>
      </c>
      <c r="F3" s="10">
        <v>0.4677</v>
      </c>
      <c r="G3" s="7">
        <v>0.03</v>
      </c>
      <c r="H3" s="9">
        <f>(E3-G3)/F3</f>
        <v>-0.342099636519136</v>
      </c>
    </row>
    <row r="4" spans="1:8">
      <c r="A4" s="5"/>
      <c r="B4" s="5"/>
      <c r="C4" s="5"/>
      <c r="D4" s="8">
        <v>2025</v>
      </c>
      <c r="E4" s="10">
        <v>0.5931</v>
      </c>
      <c r="F4" s="10">
        <v>0.3222</v>
      </c>
      <c r="G4" s="7">
        <v>0.03</v>
      </c>
      <c r="H4" s="9">
        <f>(E4-G4)/F4</f>
        <v>1.74767225325885</v>
      </c>
    </row>
    <row r="5" spans="1:8">
      <c r="G5" s="7"/>
    </row>
    <row r="6" spans="1:8">
      <c r="G6" s="7"/>
    </row>
    <row r="7" spans="1:8">
      <c r="G7" s="7"/>
    </row>
  </sheetData>
  <mergeCells count="3">
    <mergeCell ref="A2:A4"/>
    <mergeCell ref="B2:B4"/>
    <mergeCell ref="C2:C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F11" sqref="F11"/>
    </sheetView>
  </sheetViews>
  <sheetFormatPr defaultColWidth="9.02654867256637" defaultRowHeight="13.5" outlineLevelRow="6" outlineLevelCol="7"/>
  <cols>
    <col min="1" max="1" width="9.24778761061947" style="1" customWidth="1"/>
    <col min="2" max="2" width="19.9557522123894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858407079646" style="2" customWidth="1"/>
  </cols>
  <sheetData>
    <row r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17</v>
      </c>
      <c r="B2" s="5" t="s">
        <v>18</v>
      </c>
      <c r="C2" s="5" t="s">
        <v>19</v>
      </c>
      <c r="D2" s="1">
        <v>2020</v>
      </c>
      <c r="E2" s="6">
        <v>0.4713</v>
      </c>
      <c r="F2" s="6">
        <v>0.4764</v>
      </c>
      <c r="G2" s="7">
        <v>0.03</v>
      </c>
      <c r="H2" s="2">
        <f>(E2-G2)/F2</f>
        <v>0.92632241813602</v>
      </c>
    </row>
    <row r="3" spans="1:8">
      <c r="A3" s="5"/>
      <c r="B3" s="5"/>
      <c r="C3" s="5"/>
      <c r="D3" s="1">
        <v>2021</v>
      </c>
      <c r="E3" s="6">
        <v>0.1102</v>
      </c>
      <c r="F3" s="6">
        <v>0.2392</v>
      </c>
      <c r="G3" s="7">
        <v>0.03</v>
      </c>
      <c r="H3" s="2">
        <f>(E3-G3)/F3</f>
        <v>0.335284280936455</v>
      </c>
    </row>
    <row r="4" spans="1:8">
      <c r="A4" s="5"/>
      <c r="B4" s="5"/>
      <c r="C4" s="5"/>
      <c r="D4" s="1">
        <v>2022</v>
      </c>
      <c r="E4" s="6">
        <v>-0.2673</v>
      </c>
      <c r="F4" s="6">
        <v>0.2772</v>
      </c>
      <c r="G4" s="7">
        <v>0.03</v>
      </c>
      <c r="H4" s="2">
        <f>(E4-G4)/F4</f>
        <v>-1.07251082251082</v>
      </c>
    </row>
    <row r="5" spans="1:8">
      <c r="A5" s="5"/>
      <c r="B5" s="5"/>
      <c r="C5" s="5"/>
      <c r="D5" s="1">
        <v>2023</v>
      </c>
      <c r="E5" s="6">
        <v>-0.0766</v>
      </c>
      <c r="F5" s="6">
        <v>0.1862</v>
      </c>
      <c r="G5" s="7">
        <v>0.03</v>
      </c>
      <c r="H5" s="2">
        <f>(E5-G5)/F5</f>
        <v>-0.57250268528464</v>
      </c>
    </row>
    <row r="6" spans="1:8">
      <c r="A6" s="5"/>
      <c r="B6" s="5"/>
      <c r="C6" s="5"/>
      <c r="D6" s="1">
        <v>2024</v>
      </c>
      <c r="E6" s="6">
        <v>0.0123</v>
      </c>
      <c r="F6" s="6">
        <v>0.3931</v>
      </c>
      <c r="G6" s="7">
        <v>0.03</v>
      </c>
      <c r="H6" s="2">
        <f>(E6-G6)/F6</f>
        <v>-0.0450267107606207</v>
      </c>
    </row>
    <row r="7" spans="1:8">
      <c r="A7" s="5"/>
      <c r="B7" s="5"/>
      <c r="C7" s="5"/>
      <c r="D7" s="1">
        <v>2025</v>
      </c>
      <c r="E7" s="6">
        <v>0.463</v>
      </c>
      <c r="F7" s="6">
        <v>0.2788</v>
      </c>
      <c r="G7" s="7">
        <v>0.03</v>
      </c>
      <c r="H7" s="2">
        <f>(E7-G7)/F7</f>
        <v>1.55308464849354</v>
      </c>
    </row>
  </sheetData>
  <mergeCells count="3">
    <mergeCell ref="A2:A7"/>
    <mergeCell ref="B2:B7"/>
    <mergeCell ref="C2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科创50</vt:lpstr>
      <vt:lpstr>科创100</vt:lpstr>
      <vt:lpstr>科创200</vt:lpstr>
      <vt:lpstr>科创综指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2025-12-30T04:54:00Z</dcterms:created>
  <dcterms:modified xsi:type="dcterms:W3CDTF">2026-01-04T15:02:36Z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593BCADEF92C40659CB1E4FF3EFA7358_12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