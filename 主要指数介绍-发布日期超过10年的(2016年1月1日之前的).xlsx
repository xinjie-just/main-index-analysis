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主要指数介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<sst xmlns="http://schemas.openxmlformats.org/spreadsheetml/2006/main" count="144" uniqueCount="102">
  <si>
    <t>指数简称</t>
  </si>
  <si>
    <t>指数代码</t>
  </si>
  <si>
    <t>基点</t>
  </si>
  <si>
    <t>基日</t>
  </si>
  <si>
    <t>发布日期</t>
  </si>
  <si>
    <t>指定年份年收益</t>
  </si>
  <si>
    <t>2016年来平均收益率</t>
  </si>
  <si>
    <t>基日以来全部年份年平均收益</t>
  </si>
  <si>
    <t>指定年份年波动率</t>
  </si>
  <si>
    <t>基日以来近几年年化收益</t>
  </si>
  <si>
    <t xml:space="preserve">中证白酒   </t>
  </si>
  <si>
    <t>--</t>
  </si>
  <si>
    <t>半导体</t>
  </si>
  <si>
    <t>H30184</t>
  </si>
  <si>
    <t>CS稀金属</t>
  </si>
  <si>
    <t xml:space="preserve">有色金属   </t>
  </si>
  <si>
    <t>000819</t>
  </si>
  <si>
    <t xml:space="preserve">港股科技  </t>
  </si>
  <si>
    <t>800 消费</t>
  </si>
  <si>
    <t>000932</t>
  </si>
  <si>
    <t>消费红利</t>
  </si>
  <si>
    <t>H30094</t>
  </si>
  <si>
    <t xml:space="preserve">中证新能   </t>
  </si>
  <si>
    <t>800 通信</t>
  </si>
  <si>
    <t>000936</t>
  </si>
  <si>
    <t xml:space="preserve">创业板50 </t>
  </si>
  <si>
    <t>800 材料</t>
  </si>
  <si>
    <t>000929</t>
  </si>
  <si>
    <t xml:space="preserve">家用电器   </t>
  </si>
  <si>
    <t xml:space="preserve">大宗商品   </t>
  </si>
  <si>
    <t>000979</t>
  </si>
  <si>
    <t xml:space="preserve">创业板指 </t>
  </si>
  <si>
    <t>800 信息</t>
  </si>
  <si>
    <t>000935</t>
  </si>
  <si>
    <t xml:space="preserve">创业板综 </t>
  </si>
  <si>
    <t xml:space="preserve">中证A100 </t>
  </si>
  <si>
    <t>000903</t>
  </si>
  <si>
    <t>800 能源</t>
  </si>
  <si>
    <t>000928</t>
  </si>
  <si>
    <t>中证汽车</t>
  </si>
  <si>
    <t>红利低波</t>
  </si>
  <si>
    <t>H30269</t>
  </si>
  <si>
    <t xml:space="preserve">中证煤炭   </t>
  </si>
  <si>
    <t xml:space="preserve">沪深300 </t>
  </si>
  <si>
    <t>000300</t>
  </si>
  <si>
    <t>300红利</t>
  </si>
  <si>
    <t>000821</t>
  </si>
  <si>
    <t xml:space="preserve">中证国防   </t>
  </si>
  <si>
    <t>国企红利</t>
  </si>
  <si>
    <t>000824</t>
  </si>
  <si>
    <t xml:space="preserve">中证军工   </t>
  </si>
  <si>
    <t xml:space="preserve">中证银行   </t>
  </si>
  <si>
    <t xml:space="preserve">中证农业   </t>
  </si>
  <si>
    <t>000949</t>
  </si>
  <si>
    <t>中证环保</t>
  </si>
  <si>
    <t>000827</t>
  </si>
  <si>
    <t>800 金融</t>
  </si>
  <si>
    <t>H30086</t>
  </si>
  <si>
    <t xml:space="preserve">机器人   </t>
  </si>
  <si>
    <t>H30590</t>
  </si>
  <si>
    <t>800 可选</t>
  </si>
  <si>
    <t>000931</t>
  </si>
  <si>
    <t>中证红利</t>
  </si>
  <si>
    <t>000922</t>
  </si>
  <si>
    <t>央企红利</t>
  </si>
  <si>
    <t>000825</t>
  </si>
  <si>
    <t>中证全指</t>
  </si>
  <si>
    <t>000985</t>
  </si>
  <si>
    <t xml:space="preserve">中证500 </t>
  </si>
  <si>
    <t>000905</t>
  </si>
  <si>
    <t>800 工业</t>
  </si>
  <si>
    <t>000930</t>
  </si>
  <si>
    <t>500红利</t>
  </si>
  <si>
    <t>000822</t>
  </si>
  <si>
    <t xml:space="preserve">证券公司   </t>
  </si>
  <si>
    <t>中证医疗</t>
  </si>
  <si>
    <t xml:space="preserve">中证钢铁   </t>
  </si>
  <si>
    <t>800 医卫</t>
  </si>
  <si>
    <t>000933</t>
  </si>
  <si>
    <t>CS生医</t>
  </si>
  <si>
    <t>800 公用</t>
  </si>
  <si>
    <t>000937</t>
  </si>
  <si>
    <t xml:space="preserve">中证1000 </t>
  </si>
  <si>
    <t>000852</t>
  </si>
  <si>
    <t xml:space="preserve">中证中药   </t>
  </si>
  <si>
    <t xml:space="preserve">中证旅游   </t>
  </si>
  <si>
    <t xml:space="preserve">养老产业   </t>
  </si>
  <si>
    <t>中证传媒</t>
  </si>
  <si>
    <t xml:space="preserve">中证软件   </t>
  </si>
  <si>
    <t>800 地产</t>
  </si>
  <si>
    <t>近1年</t>
  </si>
  <si>
    <t>近3年</t>
  </si>
  <si>
    <t>近5年</t>
  </si>
  <si>
    <t>近7年</t>
  </si>
  <si>
    <t>近9年</t>
  </si>
  <si>
    <t>近10年</t>
  </si>
  <si>
    <t>近11年</t>
  </si>
  <si>
    <t>近13年</t>
  </si>
  <si>
    <t>近15年</t>
  </si>
  <si>
    <t>近17年</t>
  </si>
  <si>
    <t>近19年</t>
  </si>
  <si>
    <t>近21年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</si>
</sst>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0%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rgb="FF040C3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ont="1" applyAlignment="1">
      <alignment horizontal="left" vertical="center" wrapText="1"/>
    </xf>
    <xf numFmtId="176" fontId="0" fillId="0" borderId="0" xfId="0" applyNumberFormat="1" applyFont="1" applyAlignment="1">
      <alignment horizontal="left" vertical="center" wrapText="1"/>
    </xf>
    <xf numFmtId="177" fontId="0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14" fontId="0" fillId="0" borderId="0" xfId="0" applyNumberFormat="1" applyFont="1" applyFill="1" applyBorder="1" applyAlignment="1" applyProtection="1">
      <alignment horizontal="left" vertical="center" wrapText="1"/>
    </xf>
    <xf numFmtId="10" fontId="0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0" fontId="0" fillId="0" borderId="0" xfId="0" applyNumberFormat="1" applyFont="1" applyAlignment="1">
      <alignment horizontal="left" vertical="center" wrapText="1"/>
    </xf>
    <xf numFmtId="10" fontId="2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0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Font="1" applyAlignment="1">
      <alignment horizontal="left" vertical="center" wrapText="1"/>
    </xf>
    <xf numFmtId="10" fontId="1" fillId="0" borderId="0" xfId="0" applyNumberFormat="1" applyFont="1" applyFill="1" applyAlignment="1">
      <alignment horizontal="left" vertical="center"/>
    </xf>
    <xf numFmtId="10" fontId="0" fillId="0" borderId="0" xfId="0" applyNumberFormat="1" applyFont="1" applyFill="1" applyAlignment="1">
      <alignment vertical="center"/>
    </xf>
    <xf numFmtId="10" fontId="2" fillId="0" borderId="0" xfId="0" applyNumberFormat="1" applyFont="1" applyFill="1" applyAlignment="1"/>
    <xf numFmtId="0" fontId="2" fillId="0" borderId="0" xfId="0" applyNumberFormat="1" applyFont="1" applyFill="1" applyAlignment="1"/>
    <xf numFmtId="0" fontId="0" fillId="0" borderId="0" xfId="0" applyNumberFormat="1" applyFont="1" applyAlignment="1">
      <alignment horizontal="left" vertical="center" wrapText="1"/>
    </xf>
    <xf numFmtId="177" fontId="4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 quotePrefix="1">
      <alignment horizontal="left" vertical="center"/>
    </xf>
    <xf numFmtId="0" fontId="0" fillId="0" borderId="0" xfId="0" applyFont="1" applyAlignment="1" quotePrefix="1">
      <alignment horizontal="left" vertical="center"/>
    </xf>
    <xf numFmtId="0" fontId="0" fillId="0" borderId="0" xfId="0" applyFont="1" applyAlignment="1" quotePrefix="1">
      <alignment horizontal="left" vertical="center" wrapText="1"/>
    </xf>
    <xf numFmtId="0" fontId="2" fillId="0" borderId="0" xfId="0" applyNumberFormat="1" applyFont="1" applyFill="1" applyAlignment="1" quotePrefix="1">
      <alignment horizontal="left" vertical="center"/>
    </xf>
    <xf numFmtId="10" fontId="2" fillId="0" borderId="0" xfId="0" applyNumberFormat="1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418"/>
  <sheetViews>
    <sheetView tabSelected="1" zoomScale="90" zoomScaleNormal="90" workbookViewId="0">
      <pane xSplit="2" ySplit="2" topLeftCell="AA30" activePane="bottomRight" state="frozen"/>
      <selection/>
      <selection pane="topRight"/>
      <selection pane="bottomLeft"/>
      <selection pane="bottomRight" activeCell="BA40" sqref="BA40"/>
    </sheetView>
  </sheetViews>
  <sheetFormatPr defaultColWidth="9.02654867256637" defaultRowHeight="13.5"/>
  <cols>
    <col min="1" max="1" width="14.141592920354" style="1" customWidth="1"/>
    <col min="2" max="2" width="8.36283185840708" style="1" customWidth="1"/>
    <col min="3" max="3" width="5.53097345132743" style="1" customWidth="1"/>
    <col min="4" max="4" width="14.212389380531" style="2" customWidth="1"/>
    <col min="5" max="5" width="11.7256637168142" style="2" customWidth="1"/>
    <col min="6" max="14" width="8.53097345132743" style="2" customWidth="1"/>
    <col min="15" max="15" width="7.53097345132743" style="2" customWidth="1"/>
    <col min="16" max="19" width="8.53097345132743" style="1" customWidth="1"/>
    <col min="20" max="22" width="10.5929203539823" style="1" customWidth="1"/>
    <col min="23" max="26" width="8.53097345132743" style="1" customWidth="1"/>
    <col min="27" max="27" width="9.56637168141593" style="1" customWidth="1"/>
    <col min="28" max="28" width="22.2035398230088" style="1" customWidth="1"/>
    <col min="29" max="29" width="9.56637168141593" style="1" customWidth="1"/>
    <col min="30" max="30" width="28.6725663716814" style="3" customWidth="1"/>
    <col min="31" max="31" width="9.02654867256637" style="1" hidden="1" customWidth="1"/>
    <col min="32" max="52" width="7.53097345132743" style="1" hidden="1" customWidth="1"/>
    <col min="53" max="53" width="9.02654867256637" style="1"/>
    <col min="54" max="54" width="7.90265486725664" style="1" customWidth="1"/>
    <col min="55" max="56" width="8.96460176991151" style="1" customWidth="1"/>
    <col min="57" max="65" width="7.90265486725664" style="1" customWidth="1"/>
    <col min="66" max="16384" width="9.02654867256637" style="1"/>
  </cols>
  <sheetData>
    <row r="1" s="1" customFormat="1" ht="19" customHeight="1" spans="1:6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B1" s="4" t="s">
        <v>6</v>
      </c>
      <c r="AD1" s="3" t="s">
        <v>7</v>
      </c>
      <c r="AF1" s="1" t="s">
        <v>8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B1" s="5" t="s">
        <v>9</v>
      </c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</row>
    <row r="2" s="1" customFormat="1" ht="20" customHeight="1" spans="1:65">
      <c r="A2" s="6" t="s">
        <v>10</v>
      </c>
      <c r="B2" s="6">
        <v>399997</v>
      </c>
      <c r="C2" s="1">
        <v>1000</v>
      </c>
      <c r="D2" s="7">
        <v>39813</v>
      </c>
      <c r="E2" s="2">
        <v>42025</v>
      </c>
      <c r="F2" s="2"/>
      <c r="G2" s="2"/>
      <c r="H2" s="2"/>
      <c r="I2" s="2"/>
      <c r="J2" s="8">
        <v>1.5099</v>
      </c>
      <c r="K2" s="8">
        <v>0.2466</v>
      </c>
      <c r="L2" s="8">
        <v>-0.0321</v>
      </c>
      <c r="M2" s="8">
        <v>0.0708</v>
      </c>
      <c r="N2" s="8">
        <v>-0.4539</v>
      </c>
      <c r="O2" s="8">
        <v>0.4077</v>
      </c>
      <c r="P2" s="8">
        <v>0.1894</v>
      </c>
      <c r="Q2" s="8">
        <v>0.1402</v>
      </c>
      <c r="R2" s="8">
        <v>0.7729</v>
      </c>
      <c r="S2" s="8">
        <v>-0.2694</v>
      </c>
      <c r="T2" s="8">
        <v>0.9199</v>
      </c>
      <c r="U2" s="8">
        <v>1.1976</v>
      </c>
      <c r="V2" s="8">
        <v>-0.034</v>
      </c>
      <c r="W2" s="8">
        <v>-0.1253</v>
      </c>
      <c r="X2" s="8">
        <v>-0.1922</v>
      </c>
      <c r="Y2" s="8">
        <v>-0.1712</v>
      </c>
      <c r="Z2" s="8">
        <v>-0.1615</v>
      </c>
      <c r="AA2" s="9"/>
      <c r="AB2" s="10">
        <f t="shared" ref="AB2:AB52" si="0">SUM(Q2:Z2)/10</f>
        <v>0.2077</v>
      </c>
      <c r="AC2" s="9"/>
      <c r="AD2" s="3">
        <f>SUM(J2:Z2)/17</f>
        <v>0.2362</v>
      </c>
      <c r="AJ2" s="8">
        <v>0.3818</v>
      </c>
      <c r="AK2" s="8">
        <v>0.2971</v>
      </c>
      <c r="AL2" s="8">
        <v>0.2328</v>
      </c>
      <c r="AM2" s="8">
        <v>0.3058</v>
      </c>
      <c r="AN2" s="8">
        <v>0.2981</v>
      </c>
      <c r="AO2" s="8">
        <v>0.2736</v>
      </c>
      <c r="AP2" s="8">
        <v>0.4151</v>
      </c>
      <c r="AQ2" s="8">
        <v>0.2835</v>
      </c>
      <c r="AR2" s="8">
        <v>0.2483</v>
      </c>
      <c r="AS2" s="8">
        <v>0.3686</v>
      </c>
      <c r="AT2" s="8">
        <v>0.3108</v>
      </c>
      <c r="AU2" s="8">
        <v>0.3415</v>
      </c>
      <c r="AV2" s="8">
        <v>0.4096</v>
      </c>
      <c r="AW2" s="8">
        <v>0.3259</v>
      </c>
      <c r="AX2" s="8">
        <v>0.2343</v>
      </c>
      <c r="AY2" s="8">
        <v>0.3263</v>
      </c>
      <c r="AZ2" s="8">
        <v>0.2006</v>
      </c>
      <c r="BB2" s="11">
        <v>-0.161487901755769</v>
      </c>
      <c r="BC2" s="11">
        <v>-0.175064826784687</v>
      </c>
      <c r="BD2" s="11">
        <v>-0.1385748574264</v>
      </c>
      <c r="BE2" s="11">
        <v>0.104191246344597</v>
      </c>
      <c r="BF2" s="11">
        <v>0.111632613695263</v>
      </c>
      <c r="BG2" s="11">
        <f t="shared" ref="BG2:BG52" si="1">POWER((1+BF2)^9*(1+Q2),1/10)-1</f>
        <v>0.114456843832231</v>
      </c>
      <c r="BH2" s="11">
        <v>0.121067921464519</v>
      </c>
      <c r="BI2" s="11">
        <v>0.0794685876343633</v>
      </c>
      <c r="BJ2" s="11">
        <v>0.0710711969486633</v>
      </c>
      <c r="BK2" s="11">
        <v>0.136188143223898</v>
      </c>
      <c r="BL2" s="12" t="s">
        <v>11</v>
      </c>
      <c r="BM2" s="12" t="s">
        <v>11</v>
      </c>
    </row>
    <row r="3" ht="15.75" spans="1:65">
      <c r="A3" s="13" t="s">
        <v>12</v>
      </c>
      <c r="B3" s="1" t="s">
        <v>13</v>
      </c>
      <c r="C3" s="1">
        <v>1000</v>
      </c>
      <c r="D3" s="2">
        <v>41470</v>
      </c>
      <c r="E3" s="2">
        <v>38352</v>
      </c>
      <c r="F3" s="8">
        <v>-0.1658</v>
      </c>
      <c r="G3" s="8">
        <v>0.8749</v>
      </c>
      <c r="H3" s="8">
        <v>0.8238</v>
      </c>
      <c r="I3" s="8">
        <v>-0.6891</v>
      </c>
      <c r="J3" s="8">
        <v>1.2692</v>
      </c>
      <c r="K3" s="8">
        <v>0.5806</v>
      </c>
      <c r="L3" s="8">
        <v>-0.4759</v>
      </c>
      <c r="M3" s="8">
        <v>-0.2459</v>
      </c>
      <c r="N3" s="8">
        <v>0.4443</v>
      </c>
      <c r="O3" s="8">
        <v>0.2406</v>
      </c>
      <c r="P3" s="8">
        <v>0.6954</v>
      </c>
      <c r="Q3" s="8">
        <v>-0.1945</v>
      </c>
      <c r="R3" s="8">
        <v>0.2655</v>
      </c>
      <c r="S3" s="8">
        <v>-0.4416</v>
      </c>
      <c r="T3" s="8">
        <v>1.0633</v>
      </c>
      <c r="U3" s="8">
        <v>0.4493</v>
      </c>
      <c r="V3" s="8">
        <v>0.2543</v>
      </c>
      <c r="W3" s="8">
        <v>-0.373</v>
      </c>
      <c r="X3" s="8">
        <v>-0.021</v>
      </c>
      <c r="Y3" s="8">
        <v>0.2604</v>
      </c>
      <c r="Z3" s="8">
        <v>0.4587</v>
      </c>
      <c r="AA3" s="9"/>
      <c r="AB3" s="10">
        <f t="shared" si="0"/>
        <v>0.17214</v>
      </c>
      <c r="AC3" s="9"/>
      <c r="AD3" s="3">
        <f>SUM(F3:Z3)/21</f>
        <v>0.241595238095238</v>
      </c>
      <c r="AF3" s="8">
        <v>0.3371</v>
      </c>
      <c r="AG3" s="8">
        <v>0.3346</v>
      </c>
      <c r="AH3" s="8">
        <v>0.4514</v>
      </c>
      <c r="AI3" s="8">
        <v>0.6135</v>
      </c>
      <c r="AJ3" s="8">
        <v>0.4466</v>
      </c>
      <c r="AK3" s="8">
        <v>0.3692</v>
      </c>
      <c r="AL3" s="8">
        <v>0.2859</v>
      </c>
      <c r="AM3" s="8">
        <v>0.3054</v>
      </c>
      <c r="AN3" s="8">
        <v>0.2835</v>
      </c>
      <c r="AO3" s="8">
        <v>0.2546</v>
      </c>
      <c r="AP3" s="8">
        <v>0.5405</v>
      </c>
      <c r="AQ3" s="8">
        <v>0.3251</v>
      </c>
      <c r="AR3" s="8">
        <v>0.2946</v>
      </c>
      <c r="AS3" s="8">
        <v>0.3729</v>
      </c>
      <c r="AT3" s="8">
        <v>0.3907</v>
      </c>
      <c r="AU3" s="8">
        <v>0.4507</v>
      </c>
      <c r="AV3" s="8">
        <v>0.3434</v>
      </c>
      <c r="AW3" s="8">
        <v>0.3394</v>
      </c>
      <c r="AX3" s="8">
        <v>0.2688</v>
      </c>
      <c r="AY3" s="8">
        <v>0.4222</v>
      </c>
      <c r="AZ3" s="8">
        <v>0.3275</v>
      </c>
      <c r="BB3" s="11">
        <v>0.458656627699623</v>
      </c>
      <c r="BC3" s="11">
        <v>0.216408587356301</v>
      </c>
      <c r="BD3" s="11">
        <v>0.0719490886106091</v>
      </c>
      <c r="BE3" s="11">
        <v>0.228894776859103</v>
      </c>
      <c r="BF3" s="11">
        <v>0.129462144205815</v>
      </c>
      <c r="BG3" s="11">
        <f t="shared" si="1"/>
        <v>0.0919206164393433</v>
      </c>
      <c r="BH3" s="11">
        <v>0.13648407122495</v>
      </c>
      <c r="BI3" s="11">
        <v>0.165458984836441</v>
      </c>
      <c r="BJ3" s="11">
        <v>0.0733822822737669</v>
      </c>
      <c r="BK3" s="11">
        <v>0.147532832476679</v>
      </c>
      <c r="BL3" s="11">
        <v>0.0977651138097879</v>
      </c>
      <c r="BM3" s="11">
        <v>0.111475330793039</v>
      </c>
    </row>
    <row r="4" ht="15.75" spans="1:65">
      <c r="A4" s="13" t="s">
        <v>14</v>
      </c>
      <c r="B4" s="6">
        <v>930632</v>
      </c>
      <c r="C4" s="1">
        <v>1000</v>
      </c>
      <c r="D4" s="2">
        <v>40908</v>
      </c>
      <c r="E4" s="2">
        <v>42136</v>
      </c>
      <c r="M4" s="8">
        <v>0.2845</v>
      </c>
      <c r="N4" s="8">
        <v>-0.3169</v>
      </c>
      <c r="O4" s="8">
        <v>0.364</v>
      </c>
      <c r="P4" s="8">
        <v>0.0918</v>
      </c>
      <c r="Q4" s="8">
        <v>-0.1478</v>
      </c>
      <c r="R4" s="8">
        <v>0.3972</v>
      </c>
      <c r="S4" s="8">
        <v>-0.4247</v>
      </c>
      <c r="T4" s="8">
        <v>0.2623</v>
      </c>
      <c r="U4" s="8">
        <v>0.3642</v>
      </c>
      <c r="V4" s="8">
        <v>0.784</v>
      </c>
      <c r="W4" s="8">
        <v>-0.2596</v>
      </c>
      <c r="X4" s="8">
        <v>-0.2471</v>
      </c>
      <c r="Y4" s="8">
        <v>-0.066</v>
      </c>
      <c r="Z4" s="8">
        <v>0.8939</v>
      </c>
      <c r="AA4" s="9"/>
      <c r="AB4" s="10">
        <f t="shared" si="0"/>
        <v>0.15564</v>
      </c>
      <c r="AC4" s="9"/>
      <c r="AD4" s="3">
        <f>SUM(M4:Z4)/14</f>
        <v>0.141414285714286</v>
      </c>
      <c r="AM4" s="8">
        <v>0.356</v>
      </c>
      <c r="AN4" s="8">
        <v>0.3042</v>
      </c>
      <c r="AO4" s="8">
        <v>0.2529</v>
      </c>
      <c r="AP4" s="8">
        <v>0.5012</v>
      </c>
      <c r="AQ4" s="8">
        <v>0.3771</v>
      </c>
      <c r="AR4" s="8">
        <v>0.3215</v>
      </c>
      <c r="AS4" s="8">
        <v>0.323</v>
      </c>
      <c r="AT4" s="8">
        <v>0.3101</v>
      </c>
      <c r="AU4" s="8">
        <v>0.377</v>
      </c>
      <c r="AV4" s="8">
        <v>0.4622</v>
      </c>
      <c r="AW4" s="8">
        <v>0.3643</v>
      </c>
      <c r="AX4" s="8">
        <v>0.2226</v>
      </c>
      <c r="AY4" s="8">
        <v>0.3429</v>
      </c>
      <c r="AZ4" s="8">
        <v>0.3035</v>
      </c>
      <c r="BB4" s="11">
        <v>0.893872817833167</v>
      </c>
      <c r="BC4" s="11">
        <v>0.100205205159584</v>
      </c>
      <c r="BD4" s="11">
        <v>0.119569229540326</v>
      </c>
      <c r="BE4" s="11">
        <v>0.171535040660459</v>
      </c>
      <c r="BF4" s="11">
        <v>0.103920760507768</v>
      </c>
      <c r="BG4" s="11">
        <f t="shared" si="1"/>
        <v>0.075717573952842</v>
      </c>
      <c r="BH4" s="11">
        <v>0.0771621992656473</v>
      </c>
      <c r="BI4" s="11">
        <v>0.0591421027895198</v>
      </c>
      <c r="BJ4" s="12" t="s">
        <v>11</v>
      </c>
      <c r="BK4" s="12" t="s">
        <v>11</v>
      </c>
      <c r="BL4" s="12" t="s">
        <v>11</v>
      </c>
      <c r="BM4" s="12" t="s">
        <v>11</v>
      </c>
    </row>
    <row r="5" ht="15.75" spans="1:65">
      <c r="A5" s="6" t="s">
        <v>15</v>
      </c>
      <c r="B5" s="23" t="s">
        <v>16</v>
      </c>
      <c r="C5" s="1">
        <v>1000</v>
      </c>
      <c r="D5" s="7">
        <v>38352</v>
      </c>
      <c r="E5" s="2">
        <v>41038</v>
      </c>
      <c r="F5" s="8">
        <v>-0.0588</v>
      </c>
      <c r="G5" s="8">
        <v>1.7453</v>
      </c>
      <c r="H5" s="8">
        <v>2.6059</v>
      </c>
      <c r="I5" s="8">
        <v>-0.7749</v>
      </c>
      <c r="J5" s="8">
        <v>1.8875</v>
      </c>
      <c r="K5" s="8">
        <v>0.1969</v>
      </c>
      <c r="L5" s="8">
        <v>-0.4174</v>
      </c>
      <c r="M5" s="8">
        <v>0.1529</v>
      </c>
      <c r="N5" s="8">
        <v>-0.3384</v>
      </c>
      <c r="O5" s="8">
        <v>0.3734</v>
      </c>
      <c r="P5" s="8">
        <v>0.051</v>
      </c>
      <c r="Q5" s="8">
        <v>-0.0857</v>
      </c>
      <c r="R5" s="8">
        <v>0.2256</v>
      </c>
      <c r="S5" s="8">
        <v>-0.4065</v>
      </c>
      <c r="T5" s="8">
        <v>0.2231</v>
      </c>
      <c r="U5" s="8">
        <v>0.3631</v>
      </c>
      <c r="V5" s="8">
        <v>0.3131</v>
      </c>
      <c r="W5" s="8">
        <v>-0.2169</v>
      </c>
      <c r="X5" s="8">
        <v>-0.1267</v>
      </c>
      <c r="Y5" s="8">
        <v>0.0219</v>
      </c>
      <c r="Z5" s="8">
        <v>0.9748</v>
      </c>
      <c r="AA5" s="9"/>
      <c r="AB5" s="10">
        <f t="shared" si="0"/>
        <v>0.12858</v>
      </c>
      <c r="AC5" s="9"/>
      <c r="AD5" s="3">
        <f>SUM(F5:Z5)/21</f>
        <v>0.319485714285714</v>
      </c>
      <c r="AF5" s="8">
        <v>0.2763</v>
      </c>
      <c r="AG5" s="8">
        <v>0.3881</v>
      </c>
      <c r="AH5" s="8">
        <v>0.4824</v>
      </c>
      <c r="AI5" s="8">
        <v>0.6108</v>
      </c>
      <c r="AJ5" s="8">
        <v>0.5024</v>
      </c>
      <c r="AK5" s="8">
        <v>0.3709</v>
      </c>
      <c r="AL5" s="8">
        <v>0.2901</v>
      </c>
      <c r="AM5" s="8">
        <v>0.306</v>
      </c>
      <c r="AN5" s="8">
        <v>0.2606</v>
      </c>
      <c r="AO5" s="8">
        <v>0.2258</v>
      </c>
      <c r="AP5" s="8">
        <v>0.4651</v>
      </c>
      <c r="AQ5" s="8">
        <v>0.3213</v>
      </c>
      <c r="AR5" s="8">
        <v>0.227</v>
      </c>
      <c r="AS5" s="8">
        <v>0.2574</v>
      </c>
      <c r="AT5" s="8">
        <v>0.2547</v>
      </c>
      <c r="AU5" s="8">
        <v>0.3365</v>
      </c>
      <c r="AV5" s="8">
        <v>0.3798</v>
      </c>
      <c r="AW5" s="8">
        <v>0.3153</v>
      </c>
      <c r="AX5" s="8">
        <v>0.1948</v>
      </c>
      <c r="AY5" s="8">
        <v>0.295</v>
      </c>
      <c r="AZ5" s="8">
        <v>0.2789</v>
      </c>
      <c r="BB5" s="8">
        <v>0.9748</v>
      </c>
      <c r="BC5" s="8">
        <v>0.2079</v>
      </c>
      <c r="BD5" s="8">
        <v>0.1263</v>
      </c>
      <c r="BE5" s="8">
        <v>0.1711</v>
      </c>
      <c r="BF5" s="8">
        <v>0.0914</v>
      </c>
      <c r="BG5" s="11">
        <f t="shared" si="1"/>
        <v>0.0722459794956851</v>
      </c>
      <c r="BH5" s="8">
        <v>0.0703</v>
      </c>
      <c r="BI5" s="8">
        <v>0.0514</v>
      </c>
      <c r="BJ5" s="8">
        <v>0.0171</v>
      </c>
      <c r="BK5" s="8">
        <v>0.0919</v>
      </c>
      <c r="BL5" s="8">
        <v>0.07</v>
      </c>
      <c r="BM5" s="8">
        <v>0.1123</v>
      </c>
    </row>
    <row r="6" ht="15.75" spans="1:65">
      <c r="A6" s="6" t="s">
        <v>17</v>
      </c>
      <c r="B6" s="6">
        <v>931574</v>
      </c>
      <c r="C6" s="1">
        <v>1000</v>
      </c>
      <c r="D6" s="7">
        <v>42004</v>
      </c>
      <c r="E6" s="2">
        <v>41415</v>
      </c>
      <c r="P6" s="8">
        <v>0.0488</v>
      </c>
      <c r="Q6" s="8">
        <v>-0.0162</v>
      </c>
      <c r="R6" s="8">
        <v>0.5643</v>
      </c>
      <c r="S6" s="8">
        <v>-0.2993</v>
      </c>
      <c r="T6" s="8">
        <v>0.4016</v>
      </c>
      <c r="U6" s="8">
        <v>0.8718</v>
      </c>
      <c r="V6" s="8">
        <v>-0.3279</v>
      </c>
      <c r="W6" s="8">
        <v>-0.3163</v>
      </c>
      <c r="X6" s="8">
        <v>-0.1594</v>
      </c>
      <c r="Y6" s="8">
        <v>0.1664</v>
      </c>
      <c r="Z6" s="8">
        <v>0.3133</v>
      </c>
      <c r="AA6" s="9"/>
      <c r="AB6" s="10">
        <f t="shared" si="0"/>
        <v>0.11983</v>
      </c>
      <c r="AC6" s="9"/>
      <c r="AD6" s="3">
        <f>SUM(P6:Z6)/11</f>
        <v>0.113372727272727</v>
      </c>
      <c r="AP6" s="8">
        <v>0.3024</v>
      </c>
      <c r="AQ6" s="8">
        <v>0.1898</v>
      </c>
      <c r="AR6" s="8">
        <v>0.1885</v>
      </c>
      <c r="AS6" s="8">
        <v>0.3049</v>
      </c>
      <c r="AT6" s="8">
        <v>0.2405</v>
      </c>
      <c r="AU6" s="8">
        <v>0.3699</v>
      </c>
      <c r="AV6" s="8">
        <v>0.3646</v>
      </c>
      <c r="AW6" s="8">
        <v>0.5364</v>
      </c>
      <c r="AX6" s="8">
        <v>0.3147</v>
      </c>
      <c r="AY6" s="8">
        <v>0.3443</v>
      </c>
      <c r="AZ6" s="8">
        <v>0.3552</v>
      </c>
      <c r="BB6" s="11">
        <v>0.313347197701906</v>
      </c>
      <c r="BC6" s="11">
        <v>0.0879383760633179</v>
      </c>
      <c r="BD6" s="11">
        <v>-0.0996469423937991</v>
      </c>
      <c r="BE6" s="11">
        <v>0.0648302665678959</v>
      </c>
      <c r="BF6" s="11">
        <v>0.0608357332058915</v>
      </c>
      <c r="BG6" s="11">
        <f t="shared" si="1"/>
        <v>0.0528681978307968</v>
      </c>
      <c r="BH6" s="11">
        <v>0.0524977624392886</v>
      </c>
      <c r="BI6" s="12" t="s">
        <v>11</v>
      </c>
      <c r="BJ6" s="12" t="s">
        <v>11</v>
      </c>
      <c r="BK6" s="12" t="s">
        <v>11</v>
      </c>
      <c r="BL6" s="12" t="s">
        <v>11</v>
      </c>
      <c r="BM6" s="12" t="s">
        <v>11</v>
      </c>
    </row>
    <row r="7" s="1" customFormat="1" ht="15.75" spans="1:65">
      <c r="A7" s="5" t="s">
        <v>18</v>
      </c>
      <c r="B7" s="24" t="s">
        <v>19</v>
      </c>
      <c r="C7" s="1">
        <v>1000</v>
      </c>
      <c r="D7" s="14">
        <v>38352</v>
      </c>
      <c r="E7" s="15">
        <v>39997</v>
      </c>
      <c r="F7" s="10">
        <v>-0.0096</v>
      </c>
      <c r="G7" s="10">
        <v>1.7487</v>
      </c>
      <c r="H7" s="10">
        <v>1.5284</v>
      </c>
      <c r="I7" s="10">
        <v>-0.5617</v>
      </c>
      <c r="J7" s="10">
        <v>0.9588</v>
      </c>
      <c r="K7" s="10">
        <v>0.1766</v>
      </c>
      <c r="L7" s="10">
        <v>-0.1908</v>
      </c>
      <c r="M7" s="10">
        <v>-0.0175</v>
      </c>
      <c r="N7" s="10">
        <v>0.0097</v>
      </c>
      <c r="O7" s="10">
        <v>0.1483</v>
      </c>
      <c r="P7" s="10">
        <v>0.2649</v>
      </c>
      <c r="Q7" s="10">
        <v>0.0064</v>
      </c>
      <c r="R7" s="10">
        <v>0.5598</v>
      </c>
      <c r="S7" s="10">
        <v>-0.2309</v>
      </c>
      <c r="T7" s="10">
        <v>0.6472</v>
      </c>
      <c r="U7" s="10">
        <v>0.7016</v>
      </c>
      <c r="V7" s="10">
        <v>-0.0809</v>
      </c>
      <c r="W7" s="10">
        <v>-0.1445</v>
      </c>
      <c r="X7" s="10">
        <v>-0.1922</v>
      </c>
      <c r="Y7" s="10">
        <v>-0.0672</v>
      </c>
      <c r="Z7" s="10">
        <v>-0.062</v>
      </c>
      <c r="AA7" s="10"/>
      <c r="AB7" s="10">
        <f t="shared" si="0"/>
        <v>0.11373</v>
      </c>
      <c r="AC7" s="10"/>
      <c r="AD7" s="10">
        <f>SUM(F7:Z7)/21</f>
        <v>0.247290476190476</v>
      </c>
      <c r="AE7" s="8"/>
      <c r="AF7" s="8">
        <v>0.2105</v>
      </c>
      <c r="AG7" s="8">
        <v>0.2443</v>
      </c>
      <c r="AH7" s="8">
        <v>0.3607</v>
      </c>
      <c r="AI7" s="8">
        <v>0.4741</v>
      </c>
      <c r="AJ7" s="8">
        <v>0.3191</v>
      </c>
      <c r="AK7" s="8">
        <v>0.2582</v>
      </c>
      <c r="AL7" s="8">
        <v>0.193</v>
      </c>
      <c r="AM7" s="8">
        <v>0.2244</v>
      </c>
      <c r="AN7" s="8">
        <v>0.1947</v>
      </c>
      <c r="AO7" s="8">
        <v>0.1759</v>
      </c>
      <c r="AP7" s="8">
        <v>0.393</v>
      </c>
      <c r="AQ7" s="8">
        <v>0.2256</v>
      </c>
      <c r="AR7" s="8">
        <v>0.1759</v>
      </c>
      <c r="AS7" s="8">
        <v>0.2925</v>
      </c>
      <c r="AT7" s="8">
        <v>0.2384</v>
      </c>
      <c r="AU7" s="8">
        <v>0.2708</v>
      </c>
      <c r="AV7" s="8">
        <v>0.2838</v>
      </c>
      <c r="AW7" s="8">
        <v>0.243</v>
      </c>
      <c r="AX7" s="8">
        <v>0.169</v>
      </c>
      <c r="AY7" s="8">
        <v>0.2652</v>
      </c>
      <c r="AZ7" s="8">
        <v>0.1429</v>
      </c>
      <c r="BA7" s="8"/>
      <c r="BB7" s="11">
        <v>-0.0619860816437759</v>
      </c>
      <c r="BC7" s="11">
        <v>-0.109217140887355</v>
      </c>
      <c r="BD7" s="11">
        <v>-0.110830329182537</v>
      </c>
      <c r="BE7" s="11">
        <v>0.0653774525025579</v>
      </c>
      <c r="BF7" s="11">
        <v>0.0719529568331407</v>
      </c>
      <c r="BG7" s="11">
        <f t="shared" si="1"/>
        <v>0.0652099554694592</v>
      </c>
      <c r="BH7" s="11">
        <v>0.0819755899293462</v>
      </c>
      <c r="BI7" s="11">
        <v>0.0811734560485049</v>
      </c>
      <c r="BJ7" s="11">
        <v>0.0537475662090201</v>
      </c>
      <c r="BK7" s="11">
        <v>0.0999952447573489</v>
      </c>
      <c r="BL7" s="11">
        <v>0.0949251638436295</v>
      </c>
      <c r="BM7" s="11">
        <v>0.138529384045505</v>
      </c>
    </row>
    <row r="8" s="1" customFormat="1" ht="15.75" spans="1:65">
      <c r="A8" s="1" t="s">
        <v>20</v>
      </c>
      <c r="B8" s="1" t="s">
        <v>21</v>
      </c>
      <c r="C8" s="1">
        <v>1000</v>
      </c>
      <c r="D8" s="16">
        <v>38716</v>
      </c>
      <c r="E8" s="2">
        <v>41457</v>
      </c>
      <c r="F8" s="2"/>
      <c r="G8" s="8">
        <v>1.76</v>
      </c>
      <c r="H8" s="8">
        <v>1.8195</v>
      </c>
      <c r="I8" s="8">
        <v>-0.4622</v>
      </c>
      <c r="J8" s="8">
        <v>1.2322</v>
      </c>
      <c r="K8" s="8">
        <v>0.2837</v>
      </c>
      <c r="L8" s="8">
        <v>-0.2286</v>
      </c>
      <c r="M8" s="8">
        <v>-0.007</v>
      </c>
      <c r="N8" s="8">
        <v>0.0482</v>
      </c>
      <c r="O8" s="8">
        <v>0.3407</v>
      </c>
      <c r="P8" s="8">
        <v>0.2882</v>
      </c>
      <c r="Q8" s="8">
        <v>0.0668</v>
      </c>
      <c r="R8" s="8">
        <v>0.3211</v>
      </c>
      <c r="S8" s="8">
        <v>-0.1376</v>
      </c>
      <c r="T8" s="8">
        <v>0.5381</v>
      </c>
      <c r="U8" s="8">
        <v>0.4617</v>
      </c>
      <c r="V8" s="8">
        <v>0.1112</v>
      </c>
      <c r="W8" s="8">
        <v>-0.0927</v>
      </c>
      <c r="X8" s="8">
        <v>-0.1562</v>
      </c>
      <c r="Y8" s="8">
        <v>-0.0511</v>
      </c>
      <c r="Z8" s="8">
        <v>0.0125</v>
      </c>
      <c r="AA8" s="10"/>
      <c r="AB8" s="10">
        <f t="shared" si="0"/>
        <v>0.10738</v>
      </c>
      <c r="AC8" s="10"/>
      <c r="AD8" s="3">
        <f>SUM(G8:Z8)/20</f>
        <v>0.307425</v>
      </c>
      <c r="AG8" s="8">
        <v>0.2447</v>
      </c>
      <c r="AH8" s="8">
        <v>0.3972</v>
      </c>
      <c r="AI8" s="8">
        <v>0.5738</v>
      </c>
      <c r="AJ8" s="8">
        <v>0.3351</v>
      </c>
      <c r="AK8" s="8">
        <v>0.2647</v>
      </c>
      <c r="AL8" s="8">
        <v>0.191</v>
      </c>
      <c r="AM8" s="8">
        <v>0.2381</v>
      </c>
      <c r="AN8" s="8">
        <v>0.2212</v>
      </c>
      <c r="AO8" s="8">
        <v>0.189</v>
      </c>
      <c r="AP8" s="8">
        <v>0.4269</v>
      </c>
      <c r="AQ8" s="8">
        <v>0.2399</v>
      </c>
      <c r="AR8" s="8">
        <v>0.1536</v>
      </c>
      <c r="AS8" s="8">
        <v>0.2492</v>
      </c>
      <c r="AT8" s="8">
        <v>0.2243</v>
      </c>
      <c r="AU8" s="8">
        <v>0.275</v>
      </c>
      <c r="AV8" s="8">
        <v>0.212</v>
      </c>
      <c r="AW8" s="8">
        <v>0.2385</v>
      </c>
      <c r="AX8" s="8">
        <v>0.1396</v>
      </c>
      <c r="AY8" s="8">
        <v>0.2588</v>
      </c>
      <c r="AZ8" s="8">
        <v>0.1608</v>
      </c>
      <c r="BA8" s="8"/>
      <c r="BB8" s="8">
        <v>0.0125</v>
      </c>
      <c r="BC8" s="8">
        <v>-0.0676</v>
      </c>
      <c r="BD8" s="8">
        <v>-0.0396</v>
      </c>
      <c r="BE8" s="8">
        <v>0.0908</v>
      </c>
      <c r="BF8" s="8">
        <v>0.0856</v>
      </c>
      <c r="BG8" s="11">
        <f t="shared" si="1"/>
        <v>0.0837051865685661</v>
      </c>
      <c r="BH8" s="8">
        <v>0.1008</v>
      </c>
      <c r="BI8" s="8">
        <v>0.1134</v>
      </c>
      <c r="BJ8" s="8">
        <v>0.0783</v>
      </c>
      <c r="BK8" s="8">
        <v>0.137</v>
      </c>
      <c r="BL8" s="8">
        <v>0.1466</v>
      </c>
      <c r="BM8" s="12"/>
    </row>
    <row r="9" s="1" customFormat="1" ht="15.75" spans="1:65">
      <c r="A9" s="6" t="s">
        <v>22</v>
      </c>
      <c r="B9" s="6">
        <v>399808</v>
      </c>
      <c r="C9" s="1">
        <v>1000</v>
      </c>
      <c r="D9" s="7">
        <v>40908</v>
      </c>
      <c r="E9" s="2">
        <v>42045</v>
      </c>
      <c r="F9" s="2"/>
      <c r="G9" s="2"/>
      <c r="H9" s="2"/>
      <c r="I9" s="2"/>
      <c r="J9" s="2"/>
      <c r="K9" s="2"/>
      <c r="L9" s="2"/>
      <c r="M9" s="8">
        <v>-0.1424</v>
      </c>
      <c r="N9" s="8">
        <v>0.2332</v>
      </c>
      <c r="O9" s="8">
        <v>0.3354</v>
      </c>
      <c r="P9" s="8">
        <v>0.5044</v>
      </c>
      <c r="Q9" s="8">
        <v>-0.1972</v>
      </c>
      <c r="R9" s="8">
        <v>0.0815</v>
      </c>
      <c r="S9" s="8">
        <v>-0.3446</v>
      </c>
      <c r="T9" s="8">
        <v>0.2432</v>
      </c>
      <c r="U9" s="8">
        <v>1.0529</v>
      </c>
      <c r="V9" s="8">
        <v>0.4935</v>
      </c>
      <c r="W9" s="8">
        <v>-0.281</v>
      </c>
      <c r="X9" s="8">
        <v>-0.3585</v>
      </c>
      <c r="Y9" s="8">
        <v>-0.0703</v>
      </c>
      <c r="Z9" s="8">
        <v>0.4244</v>
      </c>
      <c r="AA9" s="9"/>
      <c r="AB9" s="10">
        <f t="shared" si="0"/>
        <v>0.10439</v>
      </c>
      <c r="AC9" s="9"/>
      <c r="AD9" s="3">
        <f>SUM(M9:Z9)/14</f>
        <v>0.141035714285714</v>
      </c>
      <c r="AM9" s="8">
        <v>0.2596</v>
      </c>
      <c r="AN9" s="8">
        <v>0.256</v>
      </c>
      <c r="AO9" s="8">
        <v>0.2224</v>
      </c>
      <c r="AP9" s="8">
        <v>0.4816</v>
      </c>
      <c r="AQ9" s="8">
        <v>0.3178</v>
      </c>
      <c r="AR9" s="8">
        <v>0.1668</v>
      </c>
      <c r="AS9" s="8">
        <v>0.2435</v>
      </c>
      <c r="AT9" s="8">
        <v>0.2331</v>
      </c>
      <c r="AU9" s="8">
        <v>0.3433</v>
      </c>
      <c r="AV9" s="8">
        <v>0.3743</v>
      </c>
      <c r="AW9" s="8">
        <v>0.3427</v>
      </c>
      <c r="AX9" s="8">
        <v>0.2277</v>
      </c>
      <c r="AY9" s="8">
        <v>0.3535</v>
      </c>
      <c r="AZ9" s="8">
        <v>0.2803</v>
      </c>
      <c r="BA9" s="1"/>
      <c r="BB9" s="11">
        <v>0.424431490421107</v>
      </c>
      <c r="BC9" s="11">
        <v>-0.0529058980379562</v>
      </c>
      <c r="BD9" s="11">
        <v>-0.0182033749697655</v>
      </c>
      <c r="BE9" s="11">
        <v>0.128311781176597</v>
      </c>
      <c r="BF9" s="11">
        <v>0.0572384068663403</v>
      </c>
      <c r="BG9" s="11">
        <f t="shared" si="1"/>
        <v>0.0285286054847709</v>
      </c>
      <c r="BH9" s="11">
        <v>0.0647056837503679</v>
      </c>
      <c r="BI9" s="11">
        <v>0.0957339948502836</v>
      </c>
      <c r="BJ9" s="12" t="s">
        <v>11</v>
      </c>
      <c r="BK9" s="12" t="s">
        <v>11</v>
      </c>
      <c r="BL9" s="12" t="s">
        <v>11</v>
      </c>
      <c r="BM9" s="12" t="s">
        <v>11</v>
      </c>
    </row>
    <row r="10" ht="15.75" spans="1:65">
      <c r="A10" s="5" t="s">
        <v>23</v>
      </c>
      <c r="B10" s="24" t="s">
        <v>24</v>
      </c>
      <c r="C10" s="1">
        <v>1000</v>
      </c>
      <c r="D10" s="14">
        <v>38352</v>
      </c>
      <c r="E10" s="15">
        <v>39997</v>
      </c>
      <c r="F10" s="10">
        <v>-0.0965</v>
      </c>
      <c r="G10" s="10">
        <v>0.8424</v>
      </c>
      <c r="H10" s="10">
        <v>1.2467</v>
      </c>
      <c r="I10" s="10">
        <v>-0.5438</v>
      </c>
      <c r="J10" s="10">
        <v>1.1258</v>
      </c>
      <c r="K10" s="10">
        <v>0.0233</v>
      </c>
      <c r="L10" s="10">
        <v>-0.3392</v>
      </c>
      <c r="M10" s="10">
        <v>-0.1584</v>
      </c>
      <c r="N10" s="10">
        <v>0.4439</v>
      </c>
      <c r="O10" s="10">
        <v>0.3107</v>
      </c>
      <c r="P10" s="10">
        <v>0.4353</v>
      </c>
      <c r="Q10" s="10">
        <v>-0.11</v>
      </c>
      <c r="R10" s="10">
        <v>0.2515</v>
      </c>
      <c r="S10" s="10">
        <v>-0.3867</v>
      </c>
      <c r="T10" s="10">
        <v>0.3646</v>
      </c>
      <c r="U10" s="10">
        <v>-0.0754</v>
      </c>
      <c r="V10" s="10">
        <v>0.0356</v>
      </c>
      <c r="W10" s="10">
        <v>-0.2268</v>
      </c>
      <c r="X10" s="10">
        <v>0.1821</v>
      </c>
      <c r="Y10" s="10">
        <v>0.2567</v>
      </c>
      <c r="Z10" s="10">
        <v>0.7293</v>
      </c>
      <c r="AA10" s="10"/>
      <c r="AB10" s="10">
        <f t="shared" si="0"/>
        <v>0.10209</v>
      </c>
      <c r="AC10" s="10"/>
      <c r="AD10" s="10">
        <f>SUM(F10:Z10)/21</f>
        <v>0.205290476190476</v>
      </c>
      <c r="AE10" s="8"/>
      <c r="AF10" s="8">
        <v>0.2358</v>
      </c>
      <c r="AG10" s="8">
        <v>0.2732</v>
      </c>
      <c r="AH10" s="8">
        <v>0.4128</v>
      </c>
      <c r="AI10" s="8">
        <v>0.5431</v>
      </c>
      <c r="AJ10" s="8">
        <v>0.3459</v>
      </c>
      <c r="AK10" s="8">
        <v>0.3293</v>
      </c>
      <c r="AL10" s="8">
        <v>0.2514</v>
      </c>
      <c r="AM10" s="8">
        <v>0.2437</v>
      </c>
      <c r="AN10" s="8">
        <v>0.3166</v>
      </c>
      <c r="AO10" s="8">
        <v>0.223</v>
      </c>
      <c r="AP10" s="8">
        <v>0.5134</v>
      </c>
      <c r="AQ10" s="8">
        <v>0.2847</v>
      </c>
      <c r="AR10" s="8">
        <v>0.1903</v>
      </c>
      <c r="AS10" s="8">
        <v>0.3161</v>
      </c>
      <c r="AT10" s="8">
        <v>0.3128</v>
      </c>
      <c r="AU10" s="8">
        <v>0.336</v>
      </c>
      <c r="AV10" s="8">
        <v>0.1992</v>
      </c>
      <c r="AW10" s="8">
        <v>0.2389</v>
      </c>
      <c r="AX10" s="8">
        <v>0.2845</v>
      </c>
      <c r="AY10" s="8">
        <v>0.3076</v>
      </c>
      <c r="AZ10" s="8">
        <v>0.3192</v>
      </c>
      <c r="BA10" s="8"/>
      <c r="BB10" s="11">
        <v>0.729297867158415</v>
      </c>
      <c r="BC10" s="11">
        <v>0.369592137519936</v>
      </c>
      <c r="BD10" s="11">
        <v>0.155178289960091</v>
      </c>
      <c r="BE10" s="11">
        <v>0.145958170609416</v>
      </c>
      <c r="BF10" s="11">
        <v>0.0795758651215888</v>
      </c>
      <c r="BG10" s="11">
        <f t="shared" si="1"/>
        <v>0.0589290214479445</v>
      </c>
      <c r="BH10" s="11">
        <v>0.0886113911563904</v>
      </c>
      <c r="BI10" s="11">
        <v>0.128524218460691</v>
      </c>
      <c r="BJ10" s="11">
        <v>0.0678750472077163</v>
      </c>
      <c r="BK10" s="11">
        <v>0.109226075357532</v>
      </c>
      <c r="BL10" s="11">
        <v>0.0986157923119191</v>
      </c>
      <c r="BM10" s="11">
        <v>0.11556612447678</v>
      </c>
    </row>
    <row r="11" ht="15.75" spans="1:65">
      <c r="A11" s="1" t="s">
        <v>25</v>
      </c>
      <c r="B11" s="1">
        <v>399673</v>
      </c>
      <c r="C11" s="1">
        <v>1000</v>
      </c>
      <c r="D11" s="2">
        <v>40329</v>
      </c>
      <c r="E11" s="2">
        <v>41808</v>
      </c>
      <c r="F11" s="10"/>
      <c r="G11" s="10"/>
      <c r="H11" s="10"/>
      <c r="I11" s="10"/>
      <c r="J11" s="10"/>
      <c r="K11" s="10"/>
      <c r="L11" s="8">
        <v>-0.3589</v>
      </c>
      <c r="M11" s="8">
        <v>-0.0752</v>
      </c>
      <c r="N11" s="8">
        <v>0.964</v>
      </c>
      <c r="O11" s="8">
        <v>0.0957</v>
      </c>
      <c r="P11" s="8">
        <v>0.8443</v>
      </c>
      <c r="Q11" s="8">
        <v>-0.3162</v>
      </c>
      <c r="R11" s="8">
        <v>-0.1439</v>
      </c>
      <c r="S11" s="8">
        <v>-0.3409</v>
      </c>
      <c r="T11" s="8">
        <v>0.5093</v>
      </c>
      <c r="U11" s="8">
        <v>0.8874</v>
      </c>
      <c r="V11" s="8">
        <v>0.1688</v>
      </c>
      <c r="W11" s="8">
        <v>-0.2983</v>
      </c>
      <c r="X11" s="8">
        <v>-0.24</v>
      </c>
      <c r="Y11" s="8">
        <v>0.2107</v>
      </c>
      <c r="Z11" s="8">
        <v>0.5745</v>
      </c>
      <c r="AA11" s="10"/>
      <c r="AB11" s="10">
        <f t="shared" si="0"/>
        <v>0.10114</v>
      </c>
      <c r="AC11" s="10"/>
      <c r="AD11" s="10">
        <f>SUM(L11:Z11)/15</f>
        <v>0.16542</v>
      </c>
      <c r="AL11" s="8">
        <v>0.2831</v>
      </c>
      <c r="AM11" s="8">
        <v>0.2932</v>
      </c>
      <c r="AN11" s="8">
        <v>0.3401</v>
      </c>
      <c r="AO11" s="8">
        <v>0.2633</v>
      </c>
      <c r="AP11" s="8">
        <v>0.5338</v>
      </c>
      <c r="AQ11" s="8">
        <v>0.3426</v>
      </c>
      <c r="AR11" s="8">
        <v>0.1903</v>
      </c>
      <c r="AS11" s="8">
        <v>0.3173</v>
      </c>
      <c r="AT11" s="8">
        <v>0.2746</v>
      </c>
      <c r="AU11" s="8">
        <v>0.334</v>
      </c>
      <c r="AV11" s="8">
        <v>0.3085</v>
      </c>
      <c r="AW11" s="8">
        <v>0.3064</v>
      </c>
      <c r="AX11" s="8">
        <v>0.198</v>
      </c>
      <c r="AY11" s="8">
        <v>0.4027</v>
      </c>
      <c r="AZ11" s="8">
        <v>0.321</v>
      </c>
      <c r="BB11" s="8">
        <v>0.5745</v>
      </c>
      <c r="BC11" s="8">
        <v>0.1316</v>
      </c>
      <c r="BD11" s="8">
        <v>0.0351</v>
      </c>
      <c r="BE11" s="8">
        <v>0.1903</v>
      </c>
      <c r="BF11" s="8">
        <v>0.0745</v>
      </c>
      <c r="BG11" s="11">
        <f t="shared" si="1"/>
        <v>0.0270194949724887</v>
      </c>
      <c r="BH11" s="8">
        <v>0.0832</v>
      </c>
      <c r="BI11" s="8">
        <v>0.1349</v>
      </c>
      <c r="BJ11" s="8">
        <v>0.0777</v>
      </c>
    </row>
    <row r="12" ht="15.75" spans="1:65">
      <c r="A12" s="5" t="s">
        <v>26</v>
      </c>
      <c r="B12" s="24" t="s">
        <v>27</v>
      </c>
      <c r="C12" s="1">
        <v>1000</v>
      </c>
      <c r="D12" s="14">
        <v>38352</v>
      </c>
      <c r="E12" s="15">
        <v>39997</v>
      </c>
      <c r="F12" s="10">
        <v>-0.1345</v>
      </c>
      <c r="G12" s="10">
        <v>1.0939</v>
      </c>
      <c r="H12" s="10">
        <v>2.079</v>
      </c>
      <c r="I12" s="10">
        <v>-0.7024</v>
      </c>
      <c r="J12" s="10">
        <v>1.2187</v>
      </c>
      <c r="K12" s="10">
        <v>-0.0046</v>
      </c>
      <c r="L12" s="10">
        <v>-0.3641</v>
      </c>
      <c r="M12" s="10">
        <v>0.0176</v>
      </c>
      <c r="N12" s="10">
        <v>-0.2173</v>
      </c>
      <c r="O12" s="10">
        <v>0.3585</v>
      </c>
      <c r="P12" s="10">
        <v>0.1102</v>
      </c>
      <c r="Q12" s="10">
        <v>-0.0687</v>
      </c>
      <c r="R12" s="10">
        <v>0.2251</v>
      </c>
      <c r="S12" s="10">
        <v>-0.3439</v>
      </c>
      <c r="T12" s="10">
        <v>0.2313</v>
      </c>
      <c r="U12" s="10">
        <v>0.2955</v>
      </c>
      <c r="V12" s="10">
        <v>0.1928</v>
      </c>
      <c r="W12" s="10">
        <v>-0.2305</v>
      </c>
      <c r="X12" s="10">
        <v>-0.138</v>
      </c>
      <c r="Y12" s="10">
        <v>0.0221</v>
      </c>
      <c r="Z12" s="10">
        <v>0.6497</v>
      </c>
      <c r="AA12" s="10"/>
      <c r="AB12" s="10">
        <f t="shared" si="0"/>
        <v>0.08354</v>
      </c>
      <c r="AC12" s="10"/>
      <c r="AD12" s="10">
        <f>SUM(F12:Z12)/21</f>
        <v>0.204304761904762</v>
      </c>
      <c r="AE12" s="8"/>
      <c r="AF12" s="8">
        <v>0.2194</v>
      </c>
      <c r="AG12" s="8">
        <v>0.2359</v>
      </c>
      <c r="AH12" s="8">
        <v>0.4228</v>
      </c>
      <c r="AI12" s="8">
        <v>0.5047</v>
      </c>
      <c r="AJ12" s="8">
        <v>0.3968</v>
      </c>
      <c r="AK12" s="8">
        <v>0.3024</v>
      </c>
      <c r="AL12" s="8">
        <v>0.2568</v>
      </c>
      <c r="AM12" s="8">
        <v>0.2662</v>
      </c>
      <c r="AN12" s="8">
        <v>0.2258</v>
      </c>
      <c r="AO12" s="8">
        <v>0.193</v>
      </c>
      <c r="AP12" s="8">
        <v>0.4396</v>
      </c>
      <c r="AQ12" s="8">
        <v>0.2871</v>
      </c>
      <c r="AR12" s="8">
        <v>0.181</v>
      </c>
      <c r="AS12" s="8">
        <v>0.2416</v>
      </c>
      <c r="AT12" s="8">
        <v>0.2201</v>
      </c>
      <c r="AU12" s="8">
        <v>0.2584</v>
      </c>
      <c r="AV12" s="8">
        <v>0.2765</v>
      </c>
      <c r="AW12" s="8">
        <v>0.248</v>
      </c>
      <c r="AX12" s="8">
        <v>0.1524</v>
      </c>
      <c r="AY12" s="8">
        <v>0.2491</v>
      </c>
      <c r="AZ12" s="8">
        <v>0.223</v>
      </c>
      <c r="BA12" s="8"/>
      <c r="BB12" s="11">
        <v>0.649688591546693</v>
      </c>
      <c r="BC12" s="11">
        <v>0.132752865491449</v>
      </c>
      <c r="BD12" s="11">
        <v>0.0593594856949979</v>
      </c>
      <c r="BE12" s="11">
        <v>0.113928655758399</v>
      </c>
      <c r="BF12" s="11">
        <v>0.0614545088486411</v>
      </c>
      <c r="BG12" s="11">
        <f t="shared" si="1"/>
        <v>0.0476596264158742</v>
      </c>
      <c r="BH12" s="11">
        <v>0.0531988372640457</v>
      </c>
      <c r="BI12" s="11">
        <v>0.0497783054844163</v>
      </c>
      <c r="BJ12" s="11">
        <v>0.0131697886809479</v>
      </c>
      <c r="BK12" s="11">
        <v>0.0598754265439707</v>
      </c>
      <c r="BL12" s="11">
        <v>0.0485758300158996</v>
      </c>
      <c r="BM12" s="11">
        <v>0.0738294458215525</v>
      </c>
    </row>
    <row r="13" ht="15.75" spans="1:65">
      <c r="A13" s="6" t="s">
        <v>28</v>
      </c>
      <c r="B13" s="6">
        <v>930697</v>
      </c>
      <c r="C13" s="1">
        <v>1000</v>
      </c>
      <c r="D13" s="7">
        <v>38352</v>
      </c>
      <c r="E13" s="2">
        <v>42192</v>
      </c>
      <c r="F13" s="8">
        <v>-0.2287</v>
      </c>
      <c r="G13" s="8">
        <v>0.7386</v>
      </c>
      <c r="H13" s="8">
        <v>1.4719</v>
      </c>
      <c r="I13" s="8">
        <v>-0.5477</v>
      </c>
      <c r="J13" s="8">
        <v>1.6007</v>
      </c>
      <c r="K13" s="8">
        <v>0.1382</v>
      </c>
      <c r="L13" s="8">
        <v>-0.3378</v>
      </c>
      <c r="M13" s="8">
        <v>0.027</v>
      </c>
      <c r="N13" s="8">
        <v>0.4714</v>
      </c>
      <c r="O13" s="8">
        <v>0.1499</v>
      </c>
      <c r="P13" s="8">
        <v>0.5684</v>
      </c>
      <c r="Q13" s="8">
        <v>-0.0312</v>
      </c>
      <c r="R13" s="8">
        <v>0.3616</v>
      </c>
      <c r="S13" s="8">
        <v>-0.3481</v>
      </c>
      <c r="T13" s="8">
        <v>0.4083</v>
      </c>
      <c r="U13" s="8">
        <v>0.3251</v>
      </c>
      <c r="V13" s="8">
        <v>-0.107</v>
      </c>
      <c r="W13" s="8">
        <v>-0.2202</v>
      </c>
      <c r="X13" s="8">
        <v>0.0299</v>
      </c>
      <c r="Y13" s="8">
        <v>0.2226</v>
      </c>
      <c r="Z13" s="8">
        <v>0.1347</v>
      </c>
      <c r="AA13" s="9"/>
      <c r="AB13" s="10">
        <f t="shared" si="0"/>
        <v>0.07757</v>
      </c>
      <c r="AC13" s="9"/>
      <c r="AD13" s="3">
        <f>SUM(F13:Z13)/21</f>
        <v>0.229885714285714</v>
      </c>
      <c r="AF13" s="8">
        <v>0.3074</v>
      </c>
      <c r="AG13" s="8">
        <v>0.298</v>
      </c>
      <c r="AH13" s="8">
        <v>0.4202</v>
      </c>
      <c r="AI13" s="8">
        <v>0.5117</v>
      </c>
      <c r="AJ13" s="8">
        <v>0.3428</v>
      </c>
      <c r="AK13" s="8">
        <v>0.3074</v>
      </c>
      <c r="AL13" s="8">
        <v>0.2516</v>
      </c>
      <c r="AM13" s="8">
        <v>0.2261</v>
      </c>
      <c r="AN13" s="8">
        <v>0.2243</v>
      </c>
      <c r="AO13" s="8">
        <v>0.2022</v>
      </c>
      <c r="AP13" s="8">
        <v>0.4063</v>
      </c>
      <c r="AQ13" s="8">
        <v>0.2551</v>
      </c>
      <c r="AR13" s="8">
        <v>0.1761</v>
      </c>
      <c r="AS13" s="8">
        <v>0.2645</v>
      </c>
      <c r="AT13" s="8">
        <v>0.2434</v>
      </c>
      <c r="AU13" s="8">
        <v>0.264</v>
      </c>
      <c r="AV13" s="8">
        <v>0.2165</v>
      </c>
      <c r="AW13" s="8">
        <v>0.233</v>
      </c>
      <c r="AX13" s="8">
        <v>0.1723</v>
      </c>
      <c r="AY13" s="8">
        <v>0.2464</v>
      </c>
      <c r="AZ13" s="8">
        <v>0.1861</v>
      </c>
      <c r="BB13" s="11">
        <v>0.134657627094586</v>
      </c>
      <c r="BC13" s="11">
        <v>0.126268386239526</v>
      </c>
      <c r="BD13" s="11">
        <v>-0.00103091170618697</v>
      </c>
      <c r="BE13" s="11">
        <v>0.0924142847028799</v>
      </c>
      <c r="BF13" s="11">
        <v>0.0570816887748371</v>
      </c>
      <c r="BG13" s="11">
        <f t="shared" si="1"/>
        <v>0.0479030583915812</v>
      </c>
      <c r="BH13" s="11">
        <v>0.0870329206198335</v>
      </c>
      <c r="BI13" s="11">
        <v>0.117469891884691</v>
      </c>
      <c r="BJ13" s="11">
        <v>0.073106464424223</v>
      </c>
      <c r="BK13" s="11">
        <v>0.13438897016359</v>
      </c>
      <c r="BL13" s="11">
        <v>0.126025701467649</v>
      </c>
      <c r="BM13" s="11">
        <v>0.129035894389747</v>
      </c>
    </row>
    <row r="14" ht="15.75" spans="1:65">
      <c r="A14" s="6" t="s">
        <v>29</v>
      </c>
      <c r="B14" s="23" t="s">
        <v>30</v>
      </c>
      <c r="C14" s="1">
        <v>1000</v>
      </c>
      <c r="D14" s="7">
        <v>38352</v>
      </c>
      <c r="E14" s="2">
        <v>40777</v>
      </c>
      <c r="F14" s="8">
        <v>-0.1226</v>
      </c>
      <c r="G14" s="8">
        <v>1.0712</v>
      </c>
      <c r="H14" s="8">
        <v>2.2868</v>
      </c>
      <c r="I14" s="8">
        <v>-0.6752</v>
      </c>
      <c r="J14" s="8">
        <v>1.6483</v>
      </c>
      <c r="K14" s="8">
        <v>0.1154</v>
      </c>
      <c r="L14" s="8">
        <v>-0.3581</v>
      </c>
      <c r="M14" s="8">
        <v>-0.0273</v>
      </c>
      <c r="N14" s="8">
        <v>-0.2088</v>
      </c>
      <c r="O14" s="8">
        <v>0.3019</v>
      </c>
      <c r="P14" s="8">
        <v>0.1906</v>
      </c>
      <c r="Q14" s="8">
        <v>-0.0331</v>
      </c>
      <c r="R14" s="8">
        <v>0.1018</v>
      </c>
      <c r="S14" s="8">
        <v>-0.3606</v>
      </c>
      <c r="T14" s="8">
        <v>0.2501</v>
      </c>
      <c r="U14" s="8">
        <v>0.1854</v>
      </c>
      <c r="V14" s="8">
        <v>0.3358</v>
      </c>
      <c r="W14" s="8">
        <v>-0.1358</v>
      </c>
      <c r="X14" s="8">
        <v>-0.0774</v>
      </c>
      <c r="Y14" s="8">
        <v>0.009</v>
      </c>
      <c r="Z14" s="8">
        <v>0.4255</v>
      </c>
      <c r="AA14" s="9"/>
      <c r="AB14" s="10">
        <f t="shared" si="0"/>
        <v>0.07007</v>
      </c>
      <c r="AC14" s="9"/>
      <c r="AD14" s="3">
        <f>SUM(F14:Z14)/21</f>
        <v>0.23442380952381</v>
      </c>
      <c r="AF14" s="8">
        <v>0.2575</v>
      </c>
      <c r="AG14" s="8">
        <v>0.2653</v>
      </c>
      <c r="AH14" s="8">
        <v>0.4312</v>
      </c>
      <c r="AI14" s="8">
        <v>0.5468</v>
      </c>
      <c r="AJ14" s="8">
        <v>0.4244</v>
      </c>
      <c r="AK14" s="8">
        <v>0.3205</v>
      </c>
      <c r="AL14" s="8">
        <v>0.2598</v>
      </c>
      <c r="AM14" s="8">
        <v>0.2789</v>
      </c>
      <c r="AN14" s="8">
        <v>0.2367</v>
      </c>
      <c r="AO14" s="8">
        <v>0.2056</v>
      </c>
      <c r="AP14" s="8">
        <v>0.4387</v>
      </c>
      <c r="AQ14" s="8">
        <v>0.3007</v>
      </c>
      <c r="AR14" s="8">
        <v>0.1877</v>
      </c>
      <c r="AS14" s="8">
        <v>0.2308</v>
      </c>
      <c r="AT14" s="8">
        <v>0.2302</v>
      </c>
      <c r="AU14" s="8">
        <v>0.2632</v>
      </c>
      <c r="AV14" s="8">
        <v>0.2757</v>
      </c>
      <c r="AW14" s="8">
        <v>0.241</v>
      </c>
      <c r="AX14" s="8">
        <v>0.1358</v>
      </c>
      <c r="AY14" s="8">
        <v>0.2433</v>
      </c>
      <c r="AZ14" s="8">
        <v>0.1915</v>
      </c>
      <c r="BB14" s="8">
        <v>0.4255</v>
      </c>
      <c r="BC14" s="8">
        <v>0.0989</v>
      </c>
      <c r="BD14" s="8">
        <v>0.089</v>
      </c>
      <c r="BE14" s="8">
        <v>0.1243</v>
      </c>
      <c r="BF14" s="8">
        <v>0.0535</v>
      </c>
      <c r="BG14" s="11">
        <f t="shared" si="1"/>
        <v>0.0445019184058215</v>
      </c>
      <c r="BH14" s="8">
        <v>0.0571</v>
      </c>
      <c r="BI14" s="8">
        <v>0.0505</v>
      </c>
      <c r="BJ14" s="8">
        <v>0.0113</v>
      </c>
      <c r="BK14" s="8">
        <v>0.0764</v>
      </c>
      <c r="BL14" s="8">
        <v>0.0718</v>
      </c>
      <c r="BM14" s="8">
        <v>0.0955</v>
      </c>
    </row>
    <row r="15" ht="15.75" spans="1:65">
      <c r="A15" s="1" t="s">
        <v>31</v>
      </c>
      <c r="B15" s="1">
        <v>399006</v>
      </c>
      <c r="C15" s="1">
        <v>1000</v>
      </c>
      <c r="D15" s="2">
        <v>40329</v>
      </c>
      <c r="E15" s="2">
        <v>40330</v>
      </c>
      <c r="F15" s="10"/>
      <c r="G15" s="10"/>
      <c r="H15" s="10"/>
      <c r="I15" s="10"/>
      <c r="J15" s="10"/>
      <c r="K15" s="10"/>
      <c r="L15" s="8">
        <v>-0.3588</v>
      </c>
      <c r="M15" s="8">
        <v>-0.0214</v>
      </c>
      <c r="N15" s="8">
        <v>0.8273</v>
      </c>
      <c r="O15" s="8">
        <v>0.1283</v>
      </c>
      <c r="P15" s="8">
        <v>0.8441</v>
      </c>
      <c r="Q15" s="8">
        <v>-0.2771</v>
      </c>
      <c r="R15" s="8">
        <v>-0.1067</v>
      </c>
      <c r="S15" s="8">
        <v>-0.2865</v>
      </c>
      <c r="T15" s="8">
        <v>0.4379</v>
      </c>
      <c r="U15" s="8">
        <v>0.6496</v>
      </c>
      <c r="V15" s="8">
        <v>0.1202</v>
      </c>
      <c r="W15" s="8">
        <v>-0.2937</v>
      </c>
      <c r="X15" s="8">
        <v>-0.1941</v>
      </c>
      <c r="Y15" s="8">
        <v>0.1323</v>
      </c>
      <c r="Z15" s="8">
        <v>0.4957</v>
      </c>
      <c r="AA15" s="10"/>
      <c r="AB15" s="10">
        <f t="shared" si="0"/>
        <v>0.06776</v>
      </c>
      <c r="AC15" s="10"/>
      <c r="AD15" s="10">
        <f>SUM(L15:Z15)/15</f>
        <v>0.139806666666667</v>
      </c>
      <c r="AL15" s="8">
        <v>0.2754</v>
      </c>
      <c r="AM15" s="8">
        <v>0.2806</v>
      </c>
      <c r="AN15" s="8">
        <v>0.3173</v>
      </c>
      <c r="AO15" s="8">
        <v>0.2517</v>
      </c>
      <c r="AP15" s="8">
        <v>0.5104</v>
      </c>
      <c r="AQ15" s="8">
        <v>0.3338</v>
      </c>
      <c r="AR15" s="8">
        <v>0.1664</v>
      </c>
      <c r="AS15" s="8">
        <v>0.2805</v>
      </c>
      <c r="AT15" s="8">
        <v>0.2607</v>
      </c>
      <c r="AU15" s="8">
        <v>0.3127</v>
      </c>
      <c r="AV15" s="8">
        <v>0.2762</v>
      </c>
      <c r="AW15" s="8">
        <v>0.2815</v>
      </c>
      <c r="AX15" s="8">
        <v>0.1775</v>
      </c>
      <c r="AY15" s="8">
        <v>0.386</v>
      </c>
      <c r="AZ15" s="8">
        <v>0.2947</v>
      </c>
      <c r="BB15" s="8">
        <v>0.4957</v>
      </c>
      <c r="BC15" s="8">
        <v>0.1093</v>
      </c>
      <c r="BD15" s="8">
        <v>0.0155</v>
      </c>
      <c r="BE15" s="8">
        <v>0.1438</v>
      </c>
      <c r="BF15" s="8">
        <v>0.056</v>
      </c>
      <c r="BG15" s="11">
        <f t="shared" si="1"/>
        <v>0.0167293226192711</v>
      </c>
      <c r="BH15" s="8">
        <v>0.0733</v>
      </c>
      <c r="BI15" s="8">
        <v>0.1224</v>
      </c>
      <c r="BJ15" s="8">
        <v>0.0714</v>
      </c>
    </row>
    <row r="16" ht="15.75" spans="1:65">
      <c r="A16" s="5" t="s">
        <v>32</v>
      </c>
      <c r="B16" s="24" t="s">
        <v>33</v>
      </c>
      <c r="C16" s="1">
        <v>1000</v>
      </c>
      <c r="D16" s="14">
        <v>38352</v>
      </c>
      <c r="E16" s="15">
        <v>39997</v>
      </c>
      <c r="F16" s="10">
        <v>-0.2394</v>
      </c>
      <c r="G16" s="10">
        <v>0.6476</v>
      </c>
      <c r="H16" s="10">
        <v>1.2347</v>
      </c>
      <c r="I16" s="10">
        <v>-0.6319</v>
      </c>
      <c r="J16" s="10">
        <v>1.1556</v>
      </c>
      <c r="K16" s="10">
        <v>0.4064</v>
      </c>
      <c r="L16" s="10">
        <v>-0.4026</v>
      </c>
      <c r="M16" s="10">
        <v>-0.023</v>
      </c>
      <c r="N16" s="10">
        <v>0.4301</v>
      </c>
      <c r="O16" s="10">
        <v>0.2225</v>
      </c>
      <c r="P16" s="10">
        <v>0.6186</v>
      </c>
      <c r="Q16" s="10">
        <v>-0.2327</v>
      </c>
      <c r="R16" s="10">
        <v>0.1231</v>
      </c>
      <c r="S16" s="10">
        <v>-0.3603</v>
      </c>
      <c r="T16" s="10">
        <v>0.6333</v>
      </c>
      <c r="U16" s="10">
        <v>0.2318</v>
      </c>
      <c r="V16" s="10">
        <v>0.0185</v>
      </c>
      <c r="W16" s="10">
        <v>-0.3549</v>
      </c>
      <c r="X16" s="10">
        <v>0.0223</v>
      </c>
      <c r="Y16" s="10">
        <v>0.1948</v>
      </c>
      <c r="Z16" s="10">
        <v>0.3969</v>
      </c>
      <c r="AA16" s="10"/>
      <c r="AB16" s="10">
        <f t="shared" si="0"/>
        <v>0.06728</v>
      </c>
      <c r="AC16" s="10"/>
      <c r="AD16" s="10">
        <f>SUM(F16:Z16)/21</f>
        <v>0.194828571428571</v>
      </c>
      <c r="AE16" s="8"/>
      <c r="AF16" s="8">
        <v>0.3002</v>
      </c>
      <c r="AG16" s="8">
        <v>0.2777</v>
      </c>
      <c r="AH16" s="8">
        <v>0.4228</v>
      </c>
      <c r="AI16" s="8">
        <v>0.5626</v>
      </c>
      <c r="AJ16" s="8">
        <v>0.372</v>
      </c>
      <c r="AK16" s="8">
        <v>0.3356</v>
      </c>
      <c r="AL16" s="8">
        <v>0.2584</v>
      </c>
      <c r="AM16" s="8">
        <v>0.255</v>
      </c>
      <c r="AN16" s="8">
        <v>0.2844</v>
      </c>
      <c r="AO16" s="8">
        <v>0.2294</v>
      </c>
      <c r="AP16" s="8">
        <v>0.4941</v>
      </c>
      <c r="AQ16" s="8">
        <v>0.2894</v>
      </c>
      <c r="AR16" s="8">
        <v>0.1762</v>
      </c>
      <c r="AS16" s="8">
        <v>0.3114</v>
      </c>
      <c r="AT16" s="8">
        <v>0.3092</v>
      </c>
      <c r="AU16" s="8">
        <v>0.3408</v>
      </c>
      <c r="AV16" s="8">
        <v>0.2206</v>
      </c>
      <c r="AW16" s="8">
        <v>0.2756</v>
      </c>
      <c r="AX16" s="8">
        <v>0.2419</v>
      </c>
      <c r="AY16" s="8">
        <v>0.3513</v>
      </c>
      <c r="AZ16" s="8">
        <v>0.2982</v>
      </c>
      <c r="BA16" s="8"/>
      <c r="BB16" s="11">
        <v>0.396901090864769</v>
      </c>
      <c r="BC16" s="11">
        <v>0.194925786826612</v>
      </c>
      <c r="BD16" s="11">
        <v>0.0231073567417852</v>
      </c>
      <c r="BE16" s="11">
        <v>0.123206854219816</v>
      </c>
      <c r="BF16" s="11">
        <v>0.055095269362947</v>
      </c>
      <c r="BG16" s="11">
        <f t="shared" si="1"/>
        <v>0.0220191373814529</v>
      </c>
      <c r="BH16" s="11">
        <v>0.0656461254244396</v>
      </c>
      <c r="BI16" s="11">
        <v>0.101605744178185</v>
      </c>
      <c r="BJ16" s="11">
        <v>0.0491419984635422</v>
      </c>
      <c r="BK16" s="11">
        <v>0.113568700311934</v>
      </c>
      <c r="BL16" s="11">
        <v>0.0897749081705139</v>
      </c>
      <c r="BM16" s="11">
        <v>0.0925665382888461</v>
      </c>
    </row>
    <row r="17" ht="15.75" spans="1:65">
      <c r="A17" s="1" t="s">
        <v>34</v>
      </c>
      <c r="B17" s="1">
        <v>399102</v>
      </c>
      <c r="C17" s="1">
        <v>1000</v>
      </c>
      <c r="D17" s="2">
        <v>40329</v>
      </c>
      <c r="E17" s="2">
        <v>40410</v>
      </c>
      <c r="F17" s="10"/>
      <c r="G17" s="10"/>
      <c r="H17" s="10"/>
      <c r="I17" s="10"/>
      <c r="J17" s="10"/>
      <c r="K17" s="10"/>
      <c r="L17" s="8">
        <v>-0.3542</v>
      </c>
      <c r="M17" s="8">
        <v>-0.0191</v>
      </c>
      <c r="N17" s="8">
        <v>0.7473</v>
      </c>
      <c r="O17" s="8">
        <v>0.2704</v>
      </c>
      <c r="P17" s="8">
        <v>1.0661</v>
      </c>
      <c r="Q17" s="8">
        <v>-0.2035</v>
      </c>
      <c r="R17" s="8">
        <v>-0.1532</v>
      </c>
      <c r="S17" s="8">
        <v>-0.3112</v>
      </c>
      <c r="T17" s="8">
        <v>0.3872</v>
      </c>
      <c r="U17" s="8">
        <v>0.4785</v>
      </c>
      <c r="V17" s="8">
        <v>0.1793</v>
      </c>
      <c r="W17" s="8">
        <v>-0.2677</v>
      </c>
      <c r="X17" s="8">
        <v>-0.0541</v>
      </c>
      <c r="Y17" s="8">
        <v>0.0963</v>
      </c>
      <c r="Z17" s="8">
        <v>0.404</v>
      </c>
      <c r="AA17" s="10"/>
      <c r="AB17" s="10">
        <f t="shared" si="0"/>
        <v>0.05556</v>
      </c>
      <c r="AC17" s="10"/>
      <c r="AD17" s="10">
        <f>SUM(L17:Z17)/15</f>
        <v>0.151073333333333</v>
      </c>
      <c r="AL17" s="8">
        <v>0.2739</v>
      </c>
      <c r="AM17" s="8">
        <v>0.2884</v>
      </c>
      <c r="AN17" s="8">
        <v>0.3121</v>
      </c>
      <c r="AO17" s="8">
        <v>0.2538</v>
      </c>
      <c r="AP17" s="8">
        <v>0.4935</v>
      </c>
      <c r="AQ17" s="8">
        <v>0.3445</v>
      </c>
      <c r="AR17" s="8">
        <v>0.1826</v>
      </c>
      <c r="AS17" s="8">
        <v>0.2813</v>
      </c>
      <c r="AT17" s="8">
        <v>0.2655</v>
      </c>
      <c r="AU17" s="8">
        <v>0.3099</v>
      </c>
      <c r="AV17" s="8">
        <v>0.2269</v>
      </c>
      <c r="AW17" s="8">
        <v>0.2678</v>
      </c>
      <c r="AX17" s="8">
        <v>0.1687</v>
      </c>
      <c r="AY17" s="8">
        <v>0.3935</v>
      </c>
      <c r="AZ17" s="8">
        <v>0.2842</v>
      </c>
      <c r="BB17" s="8">
        <v>0.404</v>
      </c>
      <c r="BC17" s="8">
        <v>0.1334</v>
      </c>
      <c r="BD17" s="8">
        <v>0.0469</v>
      </c>
      <c r="BE17" s="8">
        <v>0.1449</v>
      </c>
      <c r="BF17" s="8">
        <v>0.0464</v>
      </c>
      <c r="BG17" s="11">
        <f t="shared" si="1"/>
        <v>0.0182315179518273</v>
      </c>
      <c r="BH17" s="8">
        <v>0.0859</v>
      </c>
      <c r="BI17" s="8">
        <v>0.14</v>
      </c>
      <c r="BJ17" s="8">
        <v>0.0867</v>
      </c>
    </row>
    <row r="18" ht="15.75" spans="1:65">
      <c r="A18" s="1" t="s">
        <v>35</v>
      </c>
      <c r="B18" s="25" t="s">
        <v>36</v>
      </c>
      <c r="C18" s="1">
        <v>1000</v>
      </c>
      <c r="D18" s="2">
        <v>38716</v>
      </c>
      <c r="E18" s="2">
        <v>38866</v>
      </c>
      <c r="F18" s="10"/>
      <c r="G18" s="10">
        <v>1.2705</v>
      </c>
      <c r="H18" s="10">
        <v>1.4569</v>
      </c>
      <c r="I18" s="10">
        <v>-0.6648</v>
      </c>
      <c r="J18" s="10">
        <v>0.8749</v>
      </c>
      <c r="K18" s="10">
        <v>-0.1928</v>
      </c>
      <c r="L18" s="10">
        <v>-0.2088</v>
      </c>
      <c r="M18" s="10">
        <v>0.1077</v>
      </c>
      <c r="N18" s="10">
        <v>-0.1312</v>
      </c>
      <c r="O18" s="10">
        <v>0.5964</v>
      </c>
      <c r="P18" s="10">
        <v>-0.01517</v>
      </c>
      <c r="Q18" s="17">
        <v>-0.07495</v>
      </c>
      <c r="R18" s="17">
        <v>0.30206</v>
      </c>
      <c r="S18" s="17">
        <v>-0.2194</v>
      </c>
      <c r="T18" s="17">
        <v>0.35535</v>
      </c>
      <c r="U18" s="17">
        <v>0.24091</v>
      </c>
      <c r="V18" s="17">
        <v>-0.10549</v>
      </c>
      <c r="W18" s="17">
        <v>-0.2207</v>
      </c>
      <c r="X18" s="17">
        <v>-0.12638</v>
      </c>
      <c r="Y18" s="17">
        <v>0.14156</v>
      </c>
      <c r="Z18" s="17">
        <v>0.2044</v>
      </c>
      <c r="AA18" s="17"/>
      <c r="AB18" s="10">
        <f t="shared" si="0"/>
        <v>0.049736</v>
      </c>
      <c r="AC18" s="17"/>
      <c r="AD18" s="10">
        <f>SUM(G18:Z18)/20</f>
        <v>0.1795495</v>
      </c>
      <c r="AG18" s="8">
        <v>0.2141</v>
      </c>
      <c r="AH18" s="8">
        <v>0.3591</v>
      </c>
      <c r="AI18" s="8">
        <v>0.4767</v>
      </c>
      <c r="AJ18" s="8">
        <v>0.3177</v>
      </c>
      <c r="AK18" s="8">
        <v>0.2472</v>
      </c>
      <c r="AL18" s="8">
        <v>0.1974</v>
      </c>
      <c r="AM18" s="8">
        <v>0.1895</v>
      </c>
      <c r="AN18" s="8">
        <v>0.2258</v>
      </c>
      <c r="AO18" s="8">
        <v>0.2075</v>
      </c>
      <c r="AP18" s="8">
        <v>0.3882</v>
      </c>
      <c r="AQ18" s="8">
        <v>0.188</v>
      </c>
      <c r="AR18" s="8">
        <v>0.107</v>
      </c>
      <c r="AS18" s="8">
        <v>0.2148</v>
      </c>
      <c r="AT18" s="8">
        <v>0.1939</v>
      </c>
      <c r="AU18" s="8">
        <v>0.2187</v>
      </c>
      <c r="AV18" s="8">
        <v>0.1939</v>
      </c>
      <c r="AW18" s="8">
        <v>0.2062</v>
      </c>
      <c r="AX18" s="8">
        <v>0.1396</v>
      </c>
      <c r="AY18" s="8">
        <v>0.2106</v>
      </c>
      <c r="AZ18" s="8">
        <v>0.1542</v>
      </c>
      <c r="BA18" s="8"/>
      <c r="BB18" s="11">
        <v>0.204431176626926</v>
      </c>
      <c r="BC18" s="11">
        <v>0.063002236178495</v>
      </c>
      <c r="BD18" s="11">
        <v>-0.0348877723397342</v>
      </c>
      <c r="BE18" s="11">
        <v>0.0501233372732357</v>
      </c>
      <c r="BF18" s="11">
        <v>0.0406503260253381</v>
      </c>
      <c r="BG18" s="11">
        <f t="shared" si="1"/>
        <v>0.0284681880535484</v>
      </c>
      <c r="BH18" s="11">
        <v>0.0244225833751264</v>
      </c>
      <c r="BI18" s="11">
        <v>0.0466355057165875</v>
      </c>
      <c r="BJ18" s="11">
        <v>0.0311875041621603</v>
      </c>
      <c r="BK18" s="11">
        <v>0.0528248087801031</v>
      </c>
      <c r="BL18" s="11">
        <v>0.0364953038951912</v>
      </c>
      <c r="BM18" s="12" t="s">
        <v>11</v>
      </c>
    </row>
    <row r="19" ht="15.75" spans="1:65">
      <c r="A19" s="5" t="s">
        <v>37</v>
      </c>
      <c r="B19" s="24" t="s">
        <v>38</v>
      </c>
      <c r="C19" s="1">
        <v>1000</v>
      </c>
      <c r="D19" s="14">
        <v>38352</v>
      </c>
      <c r="E19" s="15">
        <v>39997</v>
      </c>
      <c r="F19" s="10">
        <v>0.0218</v>
      </c>
      <c r="G19" s="10">
        <v>1.1771</v>
      </c>
      <c r="H19" s="10">
        <v>1.9155</v>
      </c>
      <c r="I19" s="10">
        <v>-0.6905</v>
      </c>
      <c r="J19" s="10">
        <v>1.3123</v>
      </c>
      <c r="K19" s="10">
        <v>-0.1065</v>
      </c>
      <c r="L19" s="10">
        <v>-0.2499</v>
      </c>
      <c r="M19" s="10">
        <v>-0.0528</v>
      </c>
      <c r="N19" s="10">
        <v>-0.3041</v>
      </c>
      <c r="O19" s="10">
        <v>0.1987</v>
      </c>
      <c r="P19" s="10">
        <v>-0.1547</v>
      </c>
      <c r="Q19" s="10">
        <v>-0.0203</v>
      </c>
      <c r="R19" s="10">
        <v>0.0631</v>
      </c>
      <c r="S19" s="10">
        <v>-0.2549</v>
      </c>
      <c r="T19" s="10">
        <v>0.1028</v>
      </c>
      <c r="U19" s="10">
        <v>-0.1204</v>
      </c>
      <c r="V19" s="10">
        <v>0.3593</v>
      </c>
      <c r="W19" s="10">
        <v>0.118</v>
      </c>
      <c r="X19" s="10">
        <v>0.1182</v>
      </c>
      <c r="Y19" s="10">
        <v>0.119</v>
      </c>
      <c r="Z19" s="10">
        <v>-0.0091</v>
      </c>
      <c r="AA19" s="10"/>
      <c r="AB19" s="10">
        <f t="shared" si="0"/>
        <v>0.04757</v>
      </c>
      <c r="AC19" s="10"/>
      <c r="AD19" s="10">
        <f>SUM(F19:Z19)/21</f>
        <v>0.168695238095238</v>
      </c>
      <c r="AE19" s="8"/>
      <c r="AF19" s="8">
        <v>0.2424</v>
      </c>
      <c r="AG19" s="8">
        <v>0.2424</v>
      </c>
      <c r="AH19" s="8">
        <v>0.4369</v>
      </c>
      <c r="AI19" s="8">
        <v>0.4984</v>
      </c>
      <c r="AJ19" s="8">
        <v>0.4192</v>
      </c>
      <c r="AK19" s="8">
        <v>0.3414</v>
      </c>
      <c r="AL19" s="8">
        <v>0.2681</v>
      </c>
      <c r="AM19" s="8">
        <v>0.2562</v>
      </c>
      <c r="AN19" s="8">
        <v>0.2328</v>
      </c>
      <c r="AO19" s="8">
        <v>0.2184</v>
      </c>
      <c r="AP19" s="8">
        <v>0.4253</v>
      </c>
      <c r="AQ19" s="8">
        <v>0.2762</v>
      </c>
      <c r="AR19" s="8">
        <v>0.145</v>
      </c>
      <c r="AS19" s="8">
        <v>0.2345</v>
      </c>
      <c r="AT19" s="8">
        <v>0.1835</v>
      </c>
      <c r="AU19" s="8">
        <v>0.23</v>
      </c>
      <c r="AV19" s="8">
        <v>0.3243</v>
      </c>
      <c r="AW19" s="8">
        <v>0.3218</v>
      </c>
      <c r="AX19" s="8">
        <v>0.1748</v>
      </c>
      <c r="AY19" s="8">
        <v>0.2411</v>
      </c>
      <c r="AZ19" s="8">
        <v>0.1721</v>
      </c>
      <c r="BA19" s="8"/>
      <c r="BB19" s="11">
        <v>-0.009062661833247</v>
      </c>
      <c r="BC19" s="11">
        <v>0.0742969217149039</v>
      </c>
      <c r="BD19" s="11">
        <v>0.13508410347926</v>
      </c>
      <c r="BE19" s="11">
        <v>0.0899782714438122</v>
      </c>
      <c r="BF19" s="11">
        <v>0.0419655423449763</v>
      </c>
      <c r="BG19" s="11">
        <f t="shared" si="1"/>
        <v>0.0355649248814607</v>
      </c>
      <c r="BH19" s="11">
        <v>0.0166232130846042</v>
      </c>
      <c r="BI19" s="11">
        <v>-2.61039763138626e-7</v>
      </c>
      <c r="BJ19" s="11">
        <v>-0.0225319277233264</v>
      </c>
      <c r="BK19" s="11">
        <v>0.022834828742571</v>
      </c>
      <c r="BL19" s="11">
        <v>0.0149075412592756</v>
      </c>
      <c r="BM19" s="11">
        <v>0.0528099028308622</v>
      </c>
    </row>
    <row r="20" ht="15.75" spans="1:65">
      <c r="A20" s="13" t="s">
        <v>39</v>
      </c>
      <c r="B20" s="13">
        <v>930607</v>
      </c>
      <c r="C20" s="1">
        <v>1000</v>
      </c>
      <c r="D20" s="7">
        <v>38352</v>
      </c>
      <c r="E20" s="2">
        <v>42094</v>
      </c>
      <c r="F20" s="8">
        <v>-0.1623</v>
      </c>
      <c r="G20" s="8">
        <v>1.1486</v>
      </c>
      <c r="H20" s="8">
        <v>1.5355</v>
      </c>
      <c r="I20" s="8">
        <v>-0.6968</v>
      </c>
      <c r="J20" s="8">
        <v>2.2806</v>
      </c>
      <c r="K20" s="8">
        <v>-0.0391</v>
      </c>
      <c r="L20" s="8">
        <v>-0.3269</v>
      </c>
      <c r="M20" s="8">
        <v>0.0563</v>
      </c>
      <c r="N20" s="8">
        <v>0.1335</v>
      </c>
      <c r="O20" s="8">
        <v>0.3359</v>
      </c>
      <c r="P20" s="8">
        <v>0.3959</v>
      </c>
      <c r="Q20" s="8">
        <v>-0.1188</v>
      </c>
      <c r="R20" s="8">
        <v>0.0017</v>
      </c>
      <c r="S20" s="8">
        <v>-0.3458</v>
      </c>
      <c r="T20" s="8">
        <v>0.1635</v>
      </c>
      <c r="U20" s="8">
        <v>0.5243</v>
      </c>
      <c r="V20" s="8">
        <v>0.1321</v>
      </c>
      <c r="W20" s="8">
        <v>-0.2183</v>
      </c>
      <c r="X20" s="8">
        <v>0.0136</v>
      </c>
      <c r="Y20" s="8">
        <v>0.143</v>
      </c>
      <c r="Z20" s="8">
        <v>0.1731</v>
      </c>
      <c r="AA20" s="9"/>
      <c r="AB20" s="10">
        <f t="shared" si="0"/>
        <v>0.04684</v>
      </c>
      <c r="AC20" s="9"/>
      <c r="AD20" s="3">
        <f>SUM(F20:Z20)/21</f>
        <v>0.244266666666667</v>
      </c>
      <c r="AF20" s="8">
        <v>0.2701</v>
      </c>
      <c r="AG20" s="8">
        <v>0.2916</v>
      </c>
      <c r="AH20" s="8">
        <v>0.4482</v>
      </c>
      <c r="AI20" s="8">
        <v>0.5519</v>
      </c>
      <c r="AJ20" s="8">
        <v>0.3861</v>
      </c>
      <c r="AK20" s="8">
        <v>0.3182</v>
      </c>
      <c r="AL20" s="8">
        <v>0.2503</v>
      </c>
      <c r="AM20" s="8">
        <v>0.2297</v>
      </c>
      <c r="AN20" s="8">
        <v>0.2689</v>
      </c>
      <c r="AO20" s="8">
        <v>0.2064</v>
      </c>
      <c r="AP20" s="8">
        <v>0.4346</v>
      </c>
      <c r="AQ20" s="8">
        <v>0.2595</v>
      </c>
      <c r="AR20" s="8">
        <v>0.1289</v>
      </c>
      <c r="AS20" s="8">
        <v>0.2135</v>
      </c>
      <c r="AT20" s="8">
        <v>0.2354</v>
      </c>
      <c r="AU20" s="8">
        <v>0.3152</v>
      </c>
      <c r="AV20" s="8">
        <v>0.2607</v>
      </c>
      <c r="AW20" s="8">
        <v>0.3212</v>
      </c>
      <c r="AX20" s="8">
        <v>0.2108</v>
      </c>
      <c r="AY20" s="8">
        <v>0.2696</v>
      </c>
      <c r="AZ20" s="8">
        <v>0.2234</v>
      </c>
      <c r="BB20" s="11">
        <v>0.17312438535098</v>
      </c>
      <c r="BC20" s="11">
        <v>0.10767977245035</v>
      </c>
      <c r="BD20" s="11">
        <v>0.0376148686831699</v>
      </c>
      <c r="BE20" s="11">
        <v>0.114302232765049</v>
      </c>
      <c r="BF20" s="11">
        <v>0.0379186007361549</v>
      </c>
      <c r="BG20" s="11">
        <f t="shared" si="1"/>
        <v>0.0210674091735839</v>
      </c>
      <c r="BH20" s="11">
        <v>0.0505044838926962</v>
      </c>
      <c r="BI20" s="11">
        <v>0.07638623614566</v>
      </c>
      <c r="BJ20" s="11">
        <v>0.0419109564644644</v>
      </c>
      <c r="BK20" s="11">
        <v>0.109338620971297</v>
      </c>
      <c r="BL20" s="11">
        <v>0.0822120269230009</v>
      </c>
      <c r="BM20" s="11">
        <v>0.104585434484066</v>
      </c>
    </row>
    <row r="21" ht="15.75" spans="1:65">
      <c r="A21" s="1" t="s">
        <v>40</v>
      </c>
      <c r="B21" s="1" t="s">
        <v>41</v>
      </c>
      <c r="C21" s="1">
        <v>1000</v>
      </c>
      <c r="D21" s="16">
        <v>38716</v>
      </c>
      <c r="E21" s="2">
        <v>41627</v>
      </c>
      <c r="G21" s="10">
        <v>0.9654</v>
      </c>
      <c r="H21" s="10">
        <v>1.975</v>
      </c>
      <c r="I21" s="10">
        <v>-0.5833</v>
      </c>
      <c r="J21" s="10">
        <v>1.0036</v>
      </c>
      <c r="K21" s="10">
        <v>0.0544</v>
      </c>
      <c r="L21" s="10">
        <v>-0.1932</v>
      </c>
      <c r="M21" s="10">
        <v>0.0108</v>
      </c>
      <c r="N21" s="10">
        <v>0.1047</v>
      </c>
      <c r="O21" s="10">
        <v>0.5058</v>
      </c>
      <c r="P21" s="10">
        <v>0.1286</v>
      </c>
      <c r="Q21" s="10">
        <v>-0.0419</v>
      </c>
      <c r="R21" s="10">
        <v>0.1991</v>
      </c>
      <c r="S21" s="10">
        <v>-0.1946</v>
      </c>
      <c r="T21" s="10">
        <v>0.1597</v>
      </c>
      <c r="U21" s="10">
        <v>-0.0296</v>
      </c>
      <c r="V21" s="10">
        <v>0.108</v>
      </c>
      <c r="W21" s="10">
        <v>-0.019</v>
      </c>
      <c r="X21" s="10">
        <v>0.0645</v>
      </c>
      <c r="Y21" s="10">
        <v>0.1784</v>
      </c>
      <c r="Z21" s="10">
        <v>0.0044</v>
      </c>
      <c r="AA21" s="10"/>
      <c r="AB21" s="10">
        <f t="shared" si="0"/>
        <v>0.0429</v>
      </c>
      <c r="AC21" s="10"/>
      <c r="AD21" s="3">
        <f>SUM(G21:Z21)/20</f>
        <v>0.22004</v>
      </c>
      <c r="AG21" s="8">
        <v>0.2209</v>
      </c>
      <c r="AH21" s="8">
        <v>0.428</v>
      </c>
      <c r="AI21" s="8">
        <v>0.4702</v>
      </c>
      <c r="AJ21" s="8">
        <v>0.3318</v>
      </c>
      <c r="AK21" s="8">
        <v>0.2527</v>
      </c>
      <c r="AL21" s="8">
        <v>0.1827</v>
      </c>
      <c r="AM21" s="8">
        <v>0.1875</v>
      </c>
      <c r="AN21" s="8">
        <v>0.2116</v>
      </c>
      <c r="AO21" s="8">
        <v>0.1735</v>
      </c>
      <c r="AP21" s="8">
        <v>0.3938</v>
      </c>
      <c r="AQ21" s="8">
        <v>0.1848</v>
      </c>
      <c r="AR21" s="8">
        <v>0.0909</v>
      </c>
      <c r="AS21" s="8">
        <v>0.1928</v>
      </c>
      <c r="AT21" s="8">
        <v>0.1581</v>
      </c>
      <c r="AU21" s="8">
        <v>0.2046</v>
      </c>
      <c r="AV21" s="8">
        <v>0.1763</v>
      </c>
      <c r="AW21" s="8">
        <v>0.1959</v>
      </c>
      <c r="AX21" s="8">
        <v>0.1264</v>
      </c>
      <c r="AY21" s="8">
        <v>0.1892</v>
      </c>
      <c r="AZ21" s="10">
        <v>0.116</v>
      </c>
      <c r="BA21" s="10"/>
      <c r="BB21" s="11">
        <v>0.00439467349130807</v>
      </c>
      <c r="BC21" s="11">
        <v>0.0800772502310003</v>
      </c>
      <c r="BD21" s="11">
        <v>0.0649063125491227</v>
      </c>
      <c r="BE21" s="11">
        <v>0.0637432481614411</v>
      </c>
      <c r="BF21" s="11">
        <v>0.0451810873750569</v>
      </c>
      <c r="BG21" s="11">
        <f t="shared" si="1"/>
        <v>0.0361281483950788</v>
      </c>
      <c r="BH21" s="11">
        <v>0.0442177711270832</v>
      </c>
      <c r="BI21" s="11">
        <v>0.0787054457463581</v>
      </c>
      <c r="BJ21" s="11">
        <v>0.0534446554478811</v>
      </c>
      <c r="BK21" s="11">
        <v>0.0941024199079337</v>
      </c>
      <c r="BL21" s="11">
        <v>0.0961209300547745</v>
      </c>
      <c r="BM21" s="12" t="s">
        <v>11</v>
      </c>
    </row>
    <row r="22" ht="15.75" spans="1:65">
      <c r="A22" s="6" t="s">
        <v>42</v>
      </c>
      <c r="B22" s="6">
        <v>399998</v>
      </c>
      <c r="C22" s="1">
        <v>1000</v>
      </c>
      <c r="D22" s="7">
        <v>39813</v>
      </c>
      <c r="E22" s="2">
        <v>42048</v>
      </c>
      <c r="J22" s="8">
        <v>2.0243</v>
      </c>
      <c r="K22" s="8">
        <v>-0.012</v>
      </c>
      <c r="L22" s="8">
        <v>-0.2969</v>
      </c>
      <c r="M22" s="8">
        <v>-0.0729</v>
      </c>
      <c r="N22" s="8">
        <v>-0.4135</v>
      </c>
      <c r="O22" s="8">
        <v>0.2818</v>
      </c>
      <c r="P22" s="8">
        <v>0.0492</v>
      </c>
      <c r="Q22" s="8">
        <v>0.0269</v>
      </c>
      <c r="R22" s="8">
        <v>0.12</v>
      </c>
      <c r="S22" s="8">
        <v>-0.3486</v>
      </c>
      <c r="T22" s="8">
        <v>0.1086</v>
      </c>
      <c r="U22" s="8">
        <v>0.0742</v>
      </c>
      <c r="V22" s="8">
        <v>0.4281</v>
      </c>
      <c r="W22" s="8">
        <v>0.102</v>
      </c>
      <c r="X22" s="8">
        <v>0.0326</v>
      </c>
      <c r="Y22" s="8">
        <v>-0.0296</v>
      </c>
      <c r="Z22" s="8">
        <v>-0.0877</v>
      </c>
      <c r="AA22" s="9"/>
      <c r="AB22" s="10">
        <f t="shared" si="0"/>
        <v>0.04265</v>
      </c>
      <c r="AC22" s="9"/>
      <c r="AD22" s="3">
        <f>SUM(J22:Z22)/17</f>
        <v>0.116852941176471</v>
      </c>
      <c r="AJ22" s="8">
        <v>0.5125</v>
      </c>
      <c r="AK22" s="8">
        <v>0.4012</v>
      </c>
      <c r="AL22" s="8">
        <v>0.3151</v>
      </c>
      <c r="AM22" s="8">
        <v>0.312</v>
      </c>
      <c r="AN22" s="8">
        <v>0.2909</v>
      </c>
      <c r="AO22" s="8">
        <v>0.2698</v>
      </c>
      <c r="AP22" s="8">
        <v>0.4882</v>
      </c>
      <c r="AQ22" s="8">
        <v>0.347</v>
      </c>
      <c r="AR22" s="8">
        <v>0.2453</v>
      </c>
      <c r="AS22" s="8">
        <v>0.2717</v>
      </c>
      <c r="AT22" s="8">
        <v>0.2417</v>
      </c>
      <c r="AU22" s="8">
        <v>0.299</v>
      </c>
      <c r="AV22" s="8">
        <v>0.422</v>
      </c>
      <c r="AW22" s="8">
        <v>0.3698</v>
      </c>
      <c r="AX22" s="8">
        <v>0.1906</v>
      </c>
      <c r="AY22" s="8">
        <v>0.2702</v>
      </c>
      <c r="AZ22" s="8">
        <v>0.2152</v>
      </c>
      <c r="BB22" s="11">
        <v>-0.0876612559921522</v>
      </c>
      <c r="BC22" s="11">
        <v>-0.0294923264089031</v>
      </c>
      <c r="BD22" s="11">
        <v>0.075428131221329</v>
      </c>
      <c r="BE22" s="11">
        <v>0.0799281177142273</v>
      </c>
      <c r="BF22" s="11">
        <v>0.0250782339861382</v>
      </c>
      <c r="BG22" s="11">
        <f t="shared" si="1"/>
        <v>0.0252602650576266</v>
      </c>
      <c r="BH22" s="11">
        <v>0.0274148186713365</v>
      </c>
      <c r="BI22" s="11">
        <v>0.000945672848502443</v>
      </c>
      <c r="BJ22" s="11">
        <v>-0.027332824660263</v>
      </c>
      <c r="BK22" s="11">
        <v>0.040743502432081</v>
      </c>
      <c r="BL22" s="12" t="s">
        <v>11</v>
      </c>
      <c r="BM22" s="12" t="s">
        <v>11</v>
      </c>
    </row>
    <row r="23" ht="15.75" spans="1:65">
      <c r="A23" s="1" t="s">
        <v>43</v>
      </c>
      <c r="B23" s="25" t="s">
        <v>44</v>
      </c>
      <c r="C23" s="1">
        <v>1000</v>
      </c>
      <c r="D23" s="2">
        <v>38352</v>
      </c>
      <c r="E23" s="2">
        <v>38450</v>
      </c>
      <c r="F23" s="10">
        <v>-0.0765</v>
      </c>
      <c r="G23" s="10">
        <v>1.2102</v>
      </c>
      <c r="H23" s="10">
        <v>1.6155</v>
      </c>
      <c r="I23" s="10">
        <v>-0.6595</v>
      </c>
      <c r="J23" s="10">
        <v>0.9671</v>
      </c>
      <c r="K23" s="10">
        <v>-0.1251</v>
      </c>
      <c r="L23" s="10">
        <v>-0.2501</v>
      </c>
      <c r="M23" s="10">
        <v>0.0755</v>
      </c>
      <c r="N23" s="10">
        <v>-0.0765</v>
      </c>
      <c r="O23" s="10">
        <v>0.5166</v>
      </c>
      <c r="P23" s="10">
        <v>0.0558</v>
      </c>
      <c r="Q23" s="10">
        <v>-0.1128</v>
      </c>
      <c r="R23" s="10">
        <v>0.2178</v>
      </c>
      <c r="S23" s="10">
        <v>-0.2531</v>
      </c>
      <c r="T23" s="10">
        <v>0.3607</v>
      </c>
      <c r="U23" s="10">
        <v>0.2721</v>
      </c>
      <c r="V23" s="10">
        <v>-0.052</v>
      </c>
      <c r="W23" s="10">
        <v>-0.2163</v>
      </c>
      <c r="X23" s="10">
        <v>-0.1138</v>
      </c>
      <c r="Y23" s="10">
        <v>0.1468</v>
      </c>
      <c r="Z23" s="10">
        <v>0.1766</v>
      </c>
      <c r="AA23" s="10"/>
      <c r="AB23" s="10">
        <f t="shared" si="0"/>
        <v>0.0426</v>
      </c>
      <c r="AC23" s="10"/>
      <c r="AD23" s="10">
        <f>SUM(F23:Z23)/21</f>
        <v>0.175190476190476</v>
      </c>
      <c r="AE23" s="8"/>
      <c r="AF23" s="8">
        <v>0.2071</v>
      </c>
      <c r="AG23" s="8">
        <v>0.218</v>
      </c>
      <c r="AH23" s="8">
        <v>0.3641</v>
      </c>
      <c r="AI23" s="8">
        <v>0.48</v>
      </c>
      <c r="AJ23" s="8">
        <v>0.3214</v>
      </c>
      <c r="AK23" s="8">
        <v>0.2478</v>
      </c>
      <c r="AL23" s="8">
        <v>0.2031</v>
      </c>
      <c r="AM23" s="8">
        <v>0.199</v>
      </c>
      <c r="AN23" s="8">
        <v>0.2168</v>
      </c>
      <c r="AO23" s="8">
        <v>0.1895</v>
      </c>
      <c r="AP23" s="8">
        <v>0.3914</v>
      </c>
      <c r="AQ23" s="8">
        <v>0.2096</v>
      </c>
      <c r="AR23" s="8">
        <v>0.0997</v>
      </c>
      <c r="AS23" s="8">
        <v>0.2108</v>
      </c>
      <c r="AT23" s="8">
        <v>0.1948</v>
      </c>
      <c r="AU23" s="8">
        <v>0.225</v>
      </c>
      <c r="AV23" s="8">
        <v>0.183</v>
      </c>
      <c r="AW23" s="8">
        <v>0.2006</v>
      </c>
      <c r="AX23" s="8">
        <v>0.1324</v>
      </c>
      <c r="AY23" s="8">
        <v>0.208</v>
      </c>
      <c r="AZ23" s="8">
        <v>0.1483</v>
      </c>
      <c r="BA23" s="8"/>
      <c r="BB23" s="11">
        <v>0.176631739988971</v>
      </c>
      <c r="BC23" s="11">
        <v>0.0614360626749091</v>
      </c>
      <c r="BD23" s="11">
        <v>-0.0233790771094365</v>
      </c>
      <c r="BE23" s="11">
        <v>0.0634134676122176</v>
      </c>
      <c r="BF23" s="11">
        <v>0.03798956101064</v>
      </c>
      <c r="BG23" s="11">
        <f t="shared" si="1"/>
        <v>0.0218233922000861</v>
      </c>
      <c r="BH23" s="11">
        <v>0.0248673978066583</v>
      </c>
      <c r="BI23" s="11">
        <v>0.0478088332628506</v>
      </c>
      <c r="BJ23" s="11">
        <v>0.0264823859219625</v>
      </c>
      <c r="BK23" s="11">
        <v>0.0565381871555724</v>
      </c>
      <c r="BL23" s="11">
        <v>0.0440521588824099</v>
      </c>
      <c r="BM23" s="11">
        <v>0.0757071737892896</v>
      </c>
    </row>
    <row r="24" ht="15.75" spans="1:65">
      <c r="A24" s="5" t="s">
        <v>45</v>
      </c>
      <c r="B24" s="25" t="s">
        <v>46</v>
      </c>
      <c r="C24" s="1">
        <v>1000</v>
      </c>
      <c r="D24" s="14">
        <v>38352</v>
      </c>
      <c r="E24" s="2">
        <v>41110</v>
      </c>
      <c r="F24" s="8">
        <v>-0.1581</v>
      </c>
      <c r="G24" s="8">
        <v>1.1344</v>
      </c>
      <c r="H24" s="8">
        <v>2.1882</v>
      </c>
      <c r="I24" s="8">
        <v>-0.6259</v>
      </c>
      <c r="J24" s="8">
        <v>1.0862</v>
      </c>
      <c r="K24" s="8">
        <v>-0.12</v>
      </c>
      <c r="L24" s="8">
        <v>-0.2165</v>
      </c>
      <c r="M24" s="8">
        <v>0.0453</v>
      </c>
      <c r="N24" s="8">
        <v>-0.103</v>
      </c>
      <c r="O24" s="8">
        <v>0.6051</v>
      </c>
      <c r="P24" s="8">
        <v>0.0683</v>
      </c>
      <c r="Q24" s="8">
        <v>-0.0559</v>
      </c>
      <c r="R24" s="8">
        <v>0.3016</v>
      </c>
      <c r="S24" s="8">
        <v>-0.1786</v>
      </c>
      <c r="T24" s="8">
        <v>0.2128</v>
      </c>
      <c r="U24" s="8">
        <v>0.0317</v>
      </c>
      <c r="V24" s="8">
        <v>-0.0421</v>
      </c>
      <c r="W24" s="8">
        <v>-0.0706</v>
      </c>
      <c r="X24" s="8">
        <v>-0.0243</v>
      </c>
      <c r="Y24" s="8">
        <v>0.2295</v>
      </c>
      <c r="Z24" s="8">
        <v>0.0157</v>
      </c>
      <c r="AA24" s="10"/>
      <c r="AB24" s="10">
        <f t="shared" si="0"/>
        <v>0.04198</v>
      </c>
      <c r="AC24" s="10"/>
      <c r="AD24" s="3">
        <f>SUM(F24:Z24)/21</f>
        <v>0.205895238095238</v>
      </c>
      <c r="AE24" s="8"/>
      <c r="AF24" s="8">
        <v>0.2048</v>
      </c>
      <c r="AG24" s="8">
        <v>0.239</v>
      </c>
      <c r="AH24" s="8">
        <v>0.4421</v>
      </c>
      <c r="AI24" s="8">
        <v>0.4612</v>
      </c>
      <c r="AJ24" s="8">
        <v>0.3669</v>
      </c>
      <c r="AK24" s="8">
        <v>0.2421</v>
      </c>
      <c r="AL24" s="8">
        <v>0.1788</v>
      </c>
      <c r="AM24" s="8">
        <v>0.1925</v>
      </c>
      <c r="AN24" s="8">
        <v>0.1957</v>
      </c>
      <c r="AO24" s="8">
        <v>0.1887</v>
      </c>
      <c r="AP24" s="8">
        <v>0.3947</v>
      </c>
      <c r="AQ24" s="8">
        <v>0.1828</v>
      </c>
      <c r="AR24" s="8">
        <v>0.1003</v>
      </c>
      <c r="AS24" s="8">
        <v>0.1885</v>
      </c>
      <c r="AT24" s="8">
        <v>0.1687</v>
      </c>
      <c r="AU24" s="8">
        <v>0.2058</v>
      </c>
      <c r="AV24" s="8">
        <v>0.1536</v>
      </c>
      <c r="AW24" s="8">
        <v>0.1887</v>
      </c>
      <c r="AX24" s="8">
        <v>0.1351</v>
      </c>
      <c r="AY24" s="8">
        <v>0.1779</v>
      </c>
      <c r="AZ24" s="8">
        <v>0.1202</v>
      </c>
      <c r="BA24" s="8"/>
      <c r="BB24" s="8">
        <v>0.0157</v>
      </c>
      <c r="BC24" s="8">
        <v>0.0681</v>
      </c>
      <c r="BD24" s="8">
        <v>0.0164</v>
      </c>
      <c r="BE24" s="8">
        <v>0.0446</v>
      </c>
      <c r="BF24" s="8">
        <v>0.0422</v>
      </c>
      <c r="BG24" s="11">
        <f t="shared" si="1"/>
        <v>0.0319478765030119</v>
      </c>
      <c r="BH24" s="8">
        <v>0.0352</v>
      </c>
      <c r="BI24" s="8">
        <v>0.059</v>
      </c>
      <c r="BJ24" s="8">
        <v>0.0371</v>
      </c>
      <c r="BK24" s="8">
        <v>0.0702</v>
      </c>
      <c r="BL24" s="8">
        <v>0.0725</v>
      </c>
      <c r="BM24" s="8">
        <v>0.0955</v>
      </c>
    </row>
    <row r="25" ht="15.75" spans="1:65">
      <c r="A25" s="6" t="s">
        <v>47</v>
      </c>
      <c r="B25" s="6">
        <v>399973</v>
      </c>
      <c r="C25" s="1">
        <v>1000</v>
      </c>
      <c r="D25" s="7">
        <v>40724</v>
      </c>
      <c r="E25" s="2">
        <v>41744</v>
      </c>
      <c r="M25" s="8">
        <v>-0.0728</v>
      </c>
      <c r="N25" s="8">
        <v>0.4616</v>
      </c>
      <c r="O25" s="8">
        <v>0.6039</v>
      </c>
      <c r="P25" s="8">
        <v>0.3803</v>
      </c>
      <c r="Q25" s="8">
        <v>-0.2122</v>
      </c>
      <c r="R25" s="8">
        <v>-0.2018</v>
      </c>
      <c r="S25" s="8">
        <v>-0.2752</v>
      </c>
      <c r="T25" s="8">
        <v>0.2471</v>
      </c>
      <c r="U25" s="8">
        <v>0.9049</v>
      </c>
      <c r="V25" s="8">
        <v>0.1508</v>
      </c>
      <c r="W25" s="8">
        <v>-0.2753</v>
      </c>
      <c r="X25" s="8">
        <v>-0.2236</v>
      </c>
      <c r="Y25" s="8">
        <v>-0.008</v>
      </c>
      <c r="Z25" s="8">
        <v>0.3052</v>
      </c>
      <c r="AA25" s="9"/>
      <c r="AB25" s="10">
        <f t="shared" si="0"/>
        <v>0.04119</v>
      </c>
      <c r="AC25" s="9"/>
      <c r="AD25" s="3">
        <f>SUM(M25:Z25)/14</f>
        <v>0.127492857142857</v>
      </c>
      <c r="AL25" s="8">
        <v>0.1954</v>
      </c>
      <c r="AM25" s="8">
        <v>0.2657</v>
      </c>
      <c r="AN25" s="8">
        <v>0.3295</v>
      </c>
      <c r="AO25" s="8">
        <v>0.3211</v>
      </c>
      <c r="AP25" s="8">
        <v>0.6014</v>
      </c>
      <c r="AQ25" s="8">
        <v>0.3431</v>
      </c>
      <c r="AR25" s="8">
        <v>0.2317</v>
      </c>
      <c r="AS25" s="8">
        <v>0.2902</v>
      </c>
      <c r="AT25" s="8">
        <v>0.2619</v>
      </c>
      <c r="AU25" s="8">
        <v>0.3677</v>
      </c>
      <c r="AV25" s="8">
        <v>0.3685</v>
      </c>
      <c r="AW25" s="8">
        <v>0.3259</v>
      </c>
      <c r="AX25" s="8">
        <v>0.1903</v>
      </c>
      <c r="AY25" s="8">
        <v>0.3578</v>
      </c>
      <c r="AZ25" s="8">
        <v>0.2625</v>
      </c>
      <c r="BB25" s="11">
        <v>0.305193574872108</v>
      </c>
      <c r="BC25" s="11">
        <v>0.00176252383500319</v>
      </c>
      <c r="BD25" s="11">
        <v>-0.0346422404149804</v>
      </c>
      <c r="BE25" s="11">
        <v>0.103429636600167</v>
      </c>
      <c r="BF25" s="11">
        <v>0.0158618859873962</v>
      </c>
      <c r="BG25" s="11">
        <f t="shared" si="1"/>
        <v>-0.00964066989979828</v>
      </c>
      <c r="BH25" s="11">
        <v>0.0207021826986244</v>
      </c>
      <c r="BI25" s="11">
        <v>0.0864083088980725</v>
      </c>
      <c r="BJ25" s="12" t="s">
        <v>11</v>
      </c>
      <c r="BK25" s="12" t="s">
        <v>11</v>
      </c>
      <c r="BL25" s="12" t="s">
        <v>11</v>
      </c>
      <c r="BM25" s="12" t="s">
        <v>11</v>
      </c>
    </row>
    <row r="26" ht="15.75" spans="1:65">
      <c r="A26" s="1" t="s">
        <v>48</v>
      </c>
      <c r="B26" s="25" t="s">
        <v>49</v>
      </c>
      <c r="C26" s="1">
        <v>1000</v>
      </c>
      <c r="D26" s="16">
        <v>39994</v>
      </c>
      <c r="E26" s="2">
        <v>41110</v>
      </c>
      <c r="G26" s="8">
        <v>-0.4693</v>
      </c>
      <c r="H26" s="8">
        <v>1.9641</v>
      </c>
      <c r="I26" s="8">
        <v>-0.6253</v>
      </c>
      <c r="J26" s="8">
        <v>1.0308</v>
      </c>
      <c r="K26" s="8">
        <v>-0.0309</v>
      </c>
      <c r="L26" s="8">
        <v>-0.2563</v>
      </c>
      <c r="M26" s="8">
        <v>0.052</v>
      </c>
      <c r="N26" s="8">
        <v>-0.0177</v>
      </c>
      <c r="O26" s="8">
        <v>0.599</v>
      </c>
      <c r="P26" s="8">
        <v>0.058</v>
      </c>
      <c r="Q26" s="8">
        <v>-0.0593</v>
      </c>
      <c r="R26" s="8">
        <v>0.2304</v>
      </c>
      <c r="S26" s="8">
        <v>-0.1708</v>
      </c>
      <c r="T26" s="8">
        <v>0.1723</v>
      </c>
      <c r="U26" s="8">
        <v>-0.0268</v>
      </c>
      <c r="V26" s="8">
        <v>0.1078</v>
      </c>
      <c r="W26" s="8">
        <v>-0.0082</v>
      </c>
      <c r="X26" s="8">
        <v>0.0317</v>
      </c>
      <c r="Y26" s="8">
        <v>0.1384</v>
      </c>
      <c r="Z26" s="8">
        <v>-0.0045</v>
      </c>
      <c r="AA26" s="10"/>
      <c r="AB26" s="10">
        <f t="shared" si="0"/>
        <v>0.0411</v>
      </c>
      <c r="AC26" s="10"/>
      <c r="AD26" s="3">
        <f>SUM(G26:Z26)/20</f>
        <v>0.13577</v>
      </c>
      <c r="AG26" s="8">
        <v>0.2429</v>
      </c>
      <c r="AH26" s="8">
        <v>0.4254</v>
      </c>
      <c r="AI26" s="8">
        <v>0.4849</v>
      </c>
      <c r="AJ26" s="8">
        <v>0.3459</v>
      </c>
      <c r="AK26" s="8">
        <v>0.2334</v>
      </c>
      <c r="AL26" s="8">
        <v>0.1834</v>
      </c>
      <c r="AM26" s="8">
        <v>0.1898</v>
      </c>
      <c r="AN26" s="8">
        <v>0.183</v>
      </c>
      <c r="AO26" s="8">
        <v>0.1828</v>
      </c>
      <c r="AP26" s="8">
        <v>0.4152</v>
      </c>
      <c r="AQ26" s="8">
        <v>0.1885</v>
      </c>
      <c r="AR26" s="8">
        <v>0.093</v>
      </c>
      <c r="AS26" s="8">
        <v>0.1875</v>
      </c>
      <c r="AT26" s="8">
        <v>0.1761</v>
      </c>
      <c r="AU26" s="8">
        <v>0.206</v>
      </c>
      <c r="AV26" s="8">
        <v>0.1811</v>
      </c>
      <c r="AW26" s="8">
        <v>0.2015</v>
      </c>
      <c r="AX26" s="8">
        <v>0.1251</v>
      </c>
      <c r="AY26" s="8">
        <v>0.1973</v>
      </c>
      <c r="AZ26" s="8">
        <v>0.123</v>
      </c>
      <c r="BA26" s="8"/>
      <c r="BB26" s="8">
        <v>-0.0045</v>
      </c>
      <c r="BC26" s="8">
        <v>0.0535</v>
      </c>
      <c r="BD26" s="8">
        <v>0.0514</v>
      </c>
      <c r="BE26" s="8">
        <v>0.0561</v>
      </c>
      <c r="BF26" s="8">
        <v>0.0457</v>
      </c>
      <c r="BG26" s="11">
        <f t="shared" si="1"/>
        <v>0.0346930015518572</v>
      </c>
      <c r="BH26" s="8">
        <v>0.0368</v>
      </c>
      <c r="BI26" s="8">
        <v>0.0675</v>
      </c>
      <c r="BJ26" s="8">
        <v>0.0411</v>
      </c>
      <c r="BK26" s="8">
        <v>0.0782</v>
      </c>
      <c r="BL26" s="8">
        <v>0.0756</v>
      </c>
      <c r="BM26" s="26" t="s">
        <v>11</v>
      </c>
    </row>
    <row r="27" ht="15.75" spans="1:65">
      <c r="A27" s="6" t="s">
        <v>50</v>
      </c>
      <c r="B27" s="6">
        <v>399967</v>
      </c>
      <c r="C27" s="1">
        <v>1000</v>
      </c>
      <c r="D27" s="7">
        <v>38352</v>
      </c>
      <c r="E27" s="2">
        <v>41634</v>
      </c>
      <c r="F27" s="8">
        <v>0.0883</v>
      </c>
      <c r="G27" s="8">
        <v>1.4027</v>
      </c>
      <c r="H27" s="8">
        <v>1.8545</v>
      </c>
      <c r="I27" s="8">
        <v>-0.6658</v>
      </c>
      <c r="J27" s="8">
        <v>1.2308</v>
      </c>
      <c r="K27" s="8">
        <v>0.2337</v>
      </c>
      <c r="L27" s="8">
        <v>-0.3432</v>
      </c>
      <c r="M27" s="8">
        <v>-0.0559</v>
      </c>
      <c r="N27" s="8">
        <v>0.4169</v>
      </c>
      <c r="O27" s="8">
        <v>0.6098</v>
      </c>
      <c r="P27" s="8">
        <v>0.4481</v>
      </c>
      <c r="Q27" s="8">
        <v>-0.2381</v>
      </c>
      <c r="R27" s="8">
        <v>-0.1837</v>
      </c>
      <c r="S27" s="8">
        <v>-0.2725</v>
      </c>
      <c r="T27" s="8">
        <v>0.2202</v>
      </c>
      <c r="U27" s="8">
        <v>0.6791</v>
      </c>
      <c r="V27" s="8">
        <v>0.1428</v>
      </c>
      <c r="W27" s="8">
        <v>-0.2574</v>
      </c>
      <c r="X27" s="8">
        <v>-0.1102</v>
      </c>
      <c r="Y27" s="8">
        <v>0.082</v>
      </c>
      <c r="Z27" s="8">
        <v>0.3155</v>
      </c>
      <c r="AA27" s="9"/>
      <c r="AB27" s="10">
        <f t="shared" si="0"/>
        <v>0.03777</v>
      </c>
      <c r="AC27" s="9"/>
      <c r="AD27" s="3">
        <f>SUM(F27:Z27)/21</f>
        <v>0.266552380952381</v>
      </c>
      <c r="AF27" s="8">
        <v>0.2631</v>
      </c>
      <c r="AG27" s="8">
        <v>0.33</v>
      </c>
      <c r="AH27" s="8">
        <v>0.3864</v>
      </c>
      <c r="AI27" s="8">
        <v>0.5352</v>
      </c>
      <c r="AJ27" s="8">
        <v>0.3881</v>
      </c>
      <c r="AK27" s="8">
        <v>0.3154</v>
      </c>
      <c r="AL27" s="8">
        <v>0.2661</v>
      </c>
      <c r="AM27" s="8">
        <v>0.2616</v>
      </c>
      <c r="AN27" s="8">
        <v>0.3042</v>
      </c>
      <c r="AO27" s="8">
        <v>0.254</v>
      </c>
      <c r="AP27" s="8">
        <v>0.5335</v>
      </c>
      <c r="AQ27" s="8">
        <v>0.3091</v>
      </c>
      <c r="AR27" s="8">
        <v>0.2006</v>
      </c>
      <c r="AS27" s="8">
        <v>0.2872</v>
      </c>
      <c r="AT27" s="8">
        <v>0.2604</v>
      </c>
      <c r="AU27" s="8">
        <v>0.3548</v>
      </c>
      <c r="AV27" s="8">
        <v>0.3268</v>
      </c>
      <c r="AW27" s="8">
        <v>0.2921</v>
      </c>
      <c r="AX27" s="8">
        <v>0.1822</v>
      </c>
      <c r="AY27" s="8">
        <v>0.3372</v>
      </c>
      <c r="AZ27" s="8">
        <v>0.2462</v>
      </c>
      <c r="BB27" s="11">
        <v>0.315502418130486</v>
      </c>
      <c r="BC27" s="11">
        <v>0.0819644989553225</v>
      </c>
      <c r="BD27" s="11">
        <v>0.0145468051797555</v>
      </c>
      <c r="BE27" s="11">
        <v>0.119388599076901</v>
      </c>
      <c r="BF27" s="11">
        <v>0.0302734310684969</v>
      </c>
      <c r="BG27" s="11">
        <f t="shared" si="1"/>
        <v>-0.000352123878773147</v>
      </c>
      <c r="BH27" s="11">
        <v>0.0339052693653765</v>
      </c>
      <c r="BI27" s="11">
        <v>0.0959724585686603</v>
      </c>
      <c r="BJ27" s="11">
        <v>0.048712529070043</v>
      </c>
      <c r="BK27" s="11">
        <v>0.106852354632876</v>
      </c>
      <c r="BL27" s="11">
        <v>0.0923675159901116</v>
      </c>
      <c r="BM27" s="11">
        <v>0.133950181562191</v>
      </c>
    </row>
    <row r="28" ht="15.75" spans="1:65">
      <c r="A28" s="6" t="s">
        <v>51</v>
      </c>
      <c r="B28" s="6">
        <v>399986</v>
      </c>
      <c r="C28" s="1">
        <v>1000</v>
      </c>
      <c r="D28" s="7">
        <v>38352</v>
      </c>
      <c r="E28" s="2">
        <v>41470</v>
      </c>
      <c r="F28" s="8">
        <v>0.2056</v>
      </c>
      <c r="G28" s="8">
        <v>1.9828</v>
      </c>
      <c r="H28" s="8">
        <v>1.0519</v>
      </c>
      <c r="I28" s="8">
        <v>-0.65</v>
      </c>
      <c r="J28" s="8">
        <v>1.0439</v>
      </c>
      <c r="K28" s="8">
        <v>-0.2962</v>
      </c>
      <c r="L28" s="8">
        <v>-0.0446</v>
      </c>
      <c r="M28" s="8">
        <v>0.1455</v>
      </c>
      <c r="N28" s="8">
        <v>-0.093</v>
      </c>
      <c r="O28" s="8">
        <v>0.6277</v>
      </c>
      <c r="P28" s="8">
        <v>-0.0067</v>
      </c>
      <c r="Q28" s="8">
        <v>-0.0435</v>
      </c>
      <c r="R28" s="8">
        <v>0.1437</v>
      </c>
      <c r="S28" s="8">
        <v>-0.1469</v>
      </c>
      <c r="T28" s="8">
        <v>0.2265</v>
      </c>
      <c r="U28" s="8">
        <v>-0.0423</v>
      </c>
      <c r="V28" s="8">
        <v>-0.0441</v>
      </c>
      <c r="W28" s="8">
        <v>-0.0878</v>
      </c>
      <c r="X28" s="8">
        <v>-0.0727</v>
      </c>
      <c r="Y28" s="8">
        <v>0.3471</v>
      </c>
      <c r="Z28" s="8">
        <v>0.0679</v>
      </c>
      <c r="AA28" s="9"/>
      <c r="AB28" s="10">
        <f t="shared" si="0"/>
        <v>0.03479</v>
      </c>
      <c r="AC28" s="9"/>
      <c r="AD28" s="3">
        <f>SUM(F28:Z28)/21</f>
        <v>0.205466666666667</v>
      </c>
      <c r="AF28" s="8">
        <v>0.2589</v>
      </c>
      <c r="AG28" s="8">
        <v>0.2927</v>
      </c>
      <c r="AH28" s="8">
        <v>0.4248</v>
      </c>
      <c r="AI28" s="8">
        <v>0.5488</v>
      </c>
      <c r="AJ28" s="8">
        <v>0.3588</v>
      </c>
      <c r="AK28" s="8">
        <v>0.2654</v>
      </c>
      <c r="AL28" s="8">
        <v>0.1986</v>
      </c>
      <c r="AM28" s="8">
        <v>0.1765</v>
      </c>
      <c r="AN28" s="8">
        <v>0.2892</v>
      </c>
      <c r="AO28" s="8">
        <v>0.2674</v>
      </c>
      <c r="AP28" s="8">
        <v>0.3936</v>
      </c>
      <c r="AQ28" s="8">
        <v>0.1506</v>
      </c>
      <c r="AR28" s="8">
        <v>0.1298</v>
      </c>
      <c r="AS28" s="8">
        <v>0.204</v>
      </c>
      <c r="AT28" s="8">
        <v>0.1742</v>
      </c>
      <c r="AU28" s="8">
        <v>0.2134</v>
      </c>
      <c r="AV28" s="8">
        <v>0.1926</v>
      </c>
      <c r="AW28" s="8">
        <v>0.1939</v>
      </c>
      <c r="AX28" s="8">
        <v>0.1437</v>
      </c>
      <c r="AY28" s="8">
        <v>0.188</v>
      </c>
      <c r="AZ28" s="8">
        <v>0.1483</v>
      </c>
      <c r="BB28" s="11">
        <v>0.0679297597042512</v>
      </c>
      <c r="BC28" s="11">
        <v>0.100823426580851</v>
      </c>
      <c r="BD28" s="11">
        <v>0.0307109570584148</v>
      </c>
      <c r="BE28" s="11">
        <v>0.04561279864598</v>
      </c>
      <c r="BF28" s="11">
        <v>0.0324712249696983</v>
      </c>
      <c r="BG28" s="11">
        <f t="shared" si="1"/>
        <v>0.0246101610436349</v>
      </c>
      <c r="BH28" s="11">
        <v>0.021724601537281</v>
      </c>
      <c r="BI28" s="11">
        <v>0.0493260568305802</v>
      </c>
      <c r="BJ28" s="11">
        <v>0.0489001924469634</v>
      </c>
      <c r="BK28" s="11">
        <v>0.0655713914606257</v>
      </c>
      <c r="BL28" s="11">
        <v>0.0401929335835569</v>
      </c>
      <c r="BM28" s="11">
        <v>0.101418033805068</v>
      </c>
    </row>
    <row r="29" ht="15.75" spans="1:65">
      <c r="A29" s="6" t="s">
        <v>52</v>
      </c>
      <c r="B29" s="23" t="s">
        <v>53</v>
      </c>
      <c r="C29" s="1">
        <v>1000</v>
      </c>
      <c r="D29" s="7">
        <v>38352</v>
      </c>
      <c r="E29" s="2">
        <v>40114</v>
      </c>
      <c r="F29" s="8">
        <v>-0.0614</v>
      </c>
      <c r="G29" s="8">
        <v>0.9937</v>
      </c>
      <c r="H29" s="8">
        <v>1.6966</v>
      </c>
      <c r="I29" s="8">
        <v>-0.5071</v>
      </c>
      <c r="J29" s="8">
        <v>0.7188</v>
      </c>
      <c r="K29" s="8">
        <v>0.0864</v>
      </c>
      <c r="L29" s="8">
        <v>-0.2896</v>
      </c>
      <c r="M29" s="8">
        <v>-0.0423</v>
      </c>
      <c r="N29" s="8">
        <v>0.2284</v>
      </c>
      <c r="O29" s="8">
        <v>0.0484</v>
      </c>
      <c r="P29" s="8">
        <v>0.2593</v>
      </c>
      <c r="Q29" s="8">
        <v>-0.1034</v>
      </c>
      <c r="R29" s="8">
        <v>0.2046</v>
      </c>
      <c r="S29" s="8">
        <v>-0.2479</v>
      </c>
      <c r="T29" s="8">
        <v>0.3793</v>
      </c>
      <c r="U29" s="8">
        <v>0.3347</v>
      </c>
      <c r="V29" s="8">
        <v>-0.0311</v>
      </c>
      <c r="W29" s="8">
        <v>-0.1702</v>
      </c>
      <c r="X29" s="8">
        <v>-0.1466</v>
      </c>
      <c r="Y29" s="8">
        <v>-0.1054</v>
      </c>
      <c r="Z29" s="8">
        <v>0.2308</v>
      </c>
      <c r="AA29" s="9"/>
      <c r="AB29" s="10">
        <f t="shared" si="0"/>
        <v>0.03448</v>
      </c>
      <c r="AC29" s="9"/>
      <c r="AD29" s="3">
        <f>SUM(F29:Z29)/21</f>
        <v>0.16552380952381</v>
      </c>
      <c r="AF29" s="8">
        <v>0.2383</v>
      </c>
      <c r="AG29" s="8">
        <v>0.2252</v>
      </c>
      <c r="AH29" s="8">
        <v>0.3909</v>
      </c>
      <c r="AI29" s="8">
        <v>0.4395</v>
      </c>
      <c r="AJ29" s="8">
        <v>0.348</v>
      </c>
      <c r="AK29" s="8">
        <v>0.285</v>
      </c>
      <c r="AL29" s="8">
        <v>0.2226</v>
      </c>
      <c r="AM29" s="8">
        <v>0.2299</v>
      </c>
      <c r="AN29" s="8">
        <v>0.2321</v>
      </c>
      <c r="AO29" s="8">
        <v>0.1808</v>
      </c>
      <c r="AP29" s="8">
        <v>0.4175</v>
      </c>
      <c r="AQ29" s="8">
        <v>0.2528</v>
      </c>
      <c r="AR29" s="8">
        <v>0.1328</v>
      </c>
      <c r="AS29" s="8">
        <v>0.2435</v>
      </c>
      <c r="AT29" s="8">
        <v>0.2145</v>
      </c>
      <c r="AU29" s="8">
        <v>0.2779</v>
      </c>
      <c r="AV29" s="8">
        <v>0.2064</v>
      </c>
      <c r="AW29" s="8">
        <v>0.2368</v>
      </c>
      <c r="AX29" s="8">
        <v>0.1368</v>
      </c>
      <c r="AY29" s="8">
        <v>0.2515</v>
      </c>
      <c r="AZ29" s="8">
        <v>0.1625</v>
      </c>
      <c r="BB29" s="11">
        <v>0.230775281137731</v>
      </c>
      <c r="BC29" s="11">
        <v>-0.0205588596882729</v>
      </c>
      <c r="BD29" s="11">
        <v>-0.0545422714423441</v>
      </c>
      <c r="BE29" s="11">
        <v>0.0482482077741175</v>
      </c>
      <c r="BF29" s="11">
        <v>0.0260144084133416</v>
      </c>
      <c r="BG29" s="11">
        <f t="shared" si="1"/>
        <v>0.0122737783231375</v>
      </c>
      <c r="BH29" s="11">
        <v>0.0325770914615615</v>
      </c>
      <c r="BI29" s="11">
        <v>0.0476863496530269</v>
      </c>
      <c r="BJ29" s="11">
        <v>0.0148039508051934</v>
      </c>
      <c r="BK29" s="11">
        <v>0.0509603024127405</v>
      </c>
      <c r="BL29" s="11">
        <v>0.0612486439816025</v>
      </c>
      <c r="BM29" s="11">
        <v>0.087218714943015</v>
      </c>
    </row>
    <row r="30" ht="15.75" spans="1:65">
      <c r="A30" s="6" t="s">
        <v>54</v>
      </c>
      <c r="B30" s="23" t="s">
        <v>55</v>
      </c>
      <c r="C30" s="1">
        <v>1000</v>
      </c>
      <c r="D30" s="7">
        <v>40907</v>
      </c>
      <c r="E30" s="2">
        <v>41177</v>
      </c>
      <c r="M30" s="8">
        <v>-0.102</v>
      </c>
      <c r="N30" s="8">
        <v>0.3173</v>
      </c>
      <c r="O30" s="8">
        <v>0.2864</v>
      </c>
      <c r="P30" s="8">
        <v>0.3945</v>
      </c>
      <c r="Q30" s="8">
        <v>-0.1717</v>
      </c>
      <c r="R30" s="8">
        <v>-0.0104</v>
      </c>
      <c r="S30" s="8">
        <v>-0.3899</v>
      </c>
      <c r="T30" s="8">
        <v>0.1961</v>
      </c>
      <c r="U30" s="8">
        <v>0.5372</v>
      </c>
      <c r="V30" s="8">
        <v>0.4451</v>
      </c>
      <c r="W30" s="8">
        <v>-0.2508</v>
      </c>
      <c r="X30" s="8">
        <v>-0.3087</v>
      </c>
      <c r="Y30" s="8">
        <v>0.005</v>
      </c>
      <c r="Z30" s="8">
        <v>0.2698</v>
      </c>
      <c r="AA30" s="9"/>
      <c r="AB30" s="10">
        <f t="shared" si="0"/>
        <v>0.03217</v>
      </c>
      <c r="AC30" s="9"/>
      <c r="AD30" s="3">
        <f>SUM(M30:Z30)/14</f>
        <v>0.0869928571428572</v>
      </c>
      <c r="AM30" s="8">
        <v>4.3116</v>
      </c>
      <c r="AN30" s="8">
        <v>0.2564</v>
      </c>
      <c r="AO30" s="8">
        <v>0.2144</v>
      </c>
      <c r="AP30" s="8">
        <v>0.4512</v>
      </c>
      <c r="AQ30" s="8">
        <v>0.2908</v>
      </c>
      <c r="AR30" s="8">
        <v>0.1553</v>
      </c>
      <c r="AS30" s="8">
        <v>0.2225</v>
      </c>
      <c r="AT30" s="8">
        <v>0.2367</v>
      </c>
      <c r="AU30" s="8">
        <v>0.2878</v>
      </c>
      <c r="AV30" s="8">
        <v>0.3163</v>
      </c>
      <c r="AW30" s="8">
        <v>0.3027</v>
      </c>
      <c r="AX30" s="8">
        <v>0.1934</v>
      </c>
      <c r="AY30" s="8">
        <v>0.2922</v>
      </c>
      <c r="AZ30" s="8">
        <v>0.2324</v>
      </c>
      <c r="BB30" s="11">
        <v>0.26975333878441</v>
      </c>
      <c r="BC30" s="11">
        <v>-0.0409315217006395</v>
      </c>
      <c r="BD30" s="11">
        <v>-0.00915448898492521</v>
      </c>
      <c r="BE30" s="11">
        <v>0.0837622051641667</v>
      </c>
      <c r="BF30" s="11">
        <v>0.00651310415021245</v>
      </c>
      <c r="BG30" s="11">
        <f t="shared" si="1"/>
        <v>-0.0129111271176416</v>
      </c>
      <c r="BH30" s="11">
        <v>0.0185909671490054</v>
      </c>
      <c r="BI30" s="11">
        <v>0.0577633559129336</v>
      </c>
      <c r="BJ30" s="12" t="s">
        <v>11</v>
      </c>
      <c r="BK30" s="12" t="s">
        <v>11</v>
      </c>
      <c r="BL30" s="12" t="s">
        <v>11</v>
      </c>
      <c r="BM30" s="12" t="s">
        <v>11</v>
      </c>
    </row>
    <row r="31" ht="15.75" spans="1:65">
      <c r="A31" s="5" t="s">
        <v>56</v>
      </c>
      <c r="B31" s="24" t="s">
        <v>57</v>
      </c>
      <c r="C31" s="1">
        <v>1000</v>
      </c>
      <c r="D31" s="14">
        <v>38352</v>
      </c>
      <c r="E31" s="15">
        <v>41403</v>
      </c>
      <c r="F31" s="10">
        <v>0.1388</v>
      </c>
      <c r="G31" s="10">
        <v>2.0563</v>
      </c>
      <c r="H31" s="10">
        <v>1.2819</v>
      </c>
      <c r="I31" s="10">
        <v>-0.6642</v>
      </c>
      <c r="J31" s="10">
        <v>1.0369</v>
      </c>
      <c r="K31" s="10">
        <v>-0.2798</v>
      </c>
      <c r="L31" s="10">
        <v>-0.1496</v>
      </c>
      <c r="M31" s="10">
        <v>0.1908</v>
      </c>
      <c r="N31" s="10">
        <v>-0.0822</v>
      </c>
      <c r="O31" s="10">
        <v>0.8726</v>
      </c>
      <c r="P31" s="10">
        <v>-0.1093</v>
      </c>
      <c r="Q31" s="10">
        <v>-0.0882</v>
      </c>
      <c r="R31" s="10">
        <v>0.1674</v>
      </c>
      <c r="S31" s="10">
        <v>-0.2002</v>
      </c>
      <c r="T31" s="10">
        <v>0.328</v>
      </c>
      <c r="U31" s="10">
        <v>0.027</v>
      </c>
      <c r="V31" s="10">
        <v>-0.1101</v>
      </c>
      <c r="W31" s="10">
        <v>-0.1581</v>
      </c>
      <c r="X31" s="10">
        <v>-0.0555</v>
      </c>
      <c r="Y31" s="10">
        <v>0.3272</v>
      </c>
      <c r="Z31" s="10">
        <v>0.0786</v>
      </c>
      <c r="AA31" s="10"/>
      <c r="AB31" s="10">
        <f t="shared" si="0"/>
        <v>0.03161</v>
      </c>
      <c r="AC31" s="10"/>
      <c r="AD31" s="10">
        <f>SUM(F31:Z31)/21</f>
        <v>0.219442857142857</v>
      </c>
      <c r="AE31" s="8"/>
      <c r="AF31" s="8">
        <v>0.2576</v>
      </c>
      <c r="AG31" s="8">
        <v>0.2926</v>
      </c>
      <c r="AH31" s="8">
        <v>0.4033</v>
      </c>
      <c r="AI31" s="8">
        <v>0.5591</v>
      </c>
      <c r="AJ31" s="8">
        <v>0.3548</v>
      </c>
      <c r="AK31" s="8">
        <v>0.27</v>
      </c>
      <c r="AL31" s="8">
        <v>0.2172</v>
      </c>
      <c r="AM31" s="8">
        <v>0.2034</v>
      </c>
      <c r="AN31" s="8">
        <v>0.294</v>
      </c>
      <c r="AO31" s="8">
        <v>0.2691</v>
      </c>
      <c r="AP31" s="8">
        <v>0.4159</v>
      </c>
      <c r="AQ31" s="8">
        <v>0.1963</v>
      </c>
      <c r="AR31" s="8">
        <v>0.1272</v>
      </c>
      <c r="AS31" s="8">
        <v>0.2198</v>
      </c>
      <c r="AT31" s="8">
        <v>0.2162</v>
      </c>
      <c r="AU31" s="8">
        <v>0.2538</v>
      </c>
      <c r="AV31" s="8">
        <v>0.1919</v>
      </c>
      <c r="AW31" s="8">
        <v>0.2134</v>
      </c>
      <c r="AX31" s="8">
        <v>0.1659</v>
      </c>
      <c r="AY31" s="8">
        <v>0.2047</v>
      </c>
      <c r="AZ31" s="8">
        <v>0.1439</v>
      </c>
      <c r="BA31" s="8"/>
      <c r="BB31" s="11">
        <v>0.0785771186959985</v>
      </c>
      <c r="BC31" s="11">
        <v>0.105758870313328</v>
      </c>
      <c r="BD31" s="11">
        <v>0.00257584714401737</v>
      </c>
      <c r="BE31" s="11">
        <v>0.0472507857730955</v>
      </c>
      <c r="BF31" s="11">
        <v>0.0286820950543385</v>
      </c>
      <c r="BG31" s="11">
        <f t="shared" si="1"/>
        <v>0.016349367922553</v>
      </c>
      <c r="BH31" s="11">
        <v>0.0042244148055115</v>
      </c>
      <c r="BI31" s="11">
        <v>0.0462588996455331</v>
      </c>
      <c r="BJ31" s="11">
        <v>0.0408384224695608</v>
      </c>
      <c r="BK31" s="11">
        <v>0.059565158288837</v>
      </c>
      <c r="BL31" s="11">
        <v>0.0384788386317281</v>
      </c>
      <c r="BM31" s="11">
        <v>0.0980641530081117</v>
      </c>
    </row>
    <row r="32" ht="15.75" spans="1:65">
      <c r="A32" s="6" t="s">
        <v>58</v>
      </c>
      <c r="B32" s="6" t="s">
        <v>59</v>
      </c>
      <c r="C32" s="1">
        <v>1000</v>
      </c>
      <c r="D32" s="7">
        <v>40543</v>
      </c>
      <c r="E32" s="2">
        <v>42045</v>
      </c>
      <c r="L32" s="8">
        <v>-0.3681</v>
      </c>
      <c r="M32" s="8">
        <v>-0.121</v>
      </c>
      <c r="N32" s="8">
        <v>0.5062</v>
      </c>
      <c r="O32" s="8">
        <v>0.3299</v>
      </c>
      <c r="P32" s="8">
        <v>0.6853</v>
      </c>
      <c r="Q32" s="8">
        <v>-0.2276</v>
      </c>
      <c r="R32" s="8">
        <v>-0.0575</v>
      </c>
      <c r="S32" s="8">
        <v>-0.2931</v>
      </c>
      <c r="T32" s="8">
        <v>0.2485</v>
      </c>
      <c r="U32" s="8">
        <v>0.3998</v>
      </c>
      <c r="V32" s="8">
        <v>0.1465</v>
      </c>
      <c r="W32" s="8">
        <v>-0.3176</v>
      </c>
      <c r="X32" s="8">
        <v>0.0601</v>
      </c>
      <c r="Y32" s="8">
        <v>0.0434</v>
      </c>
      <c r="Z32" s="8">
        <v>0.3078</v>
      </c>
      <c r="AA32" s="9"/>
      <c r="AB32" s="10">
        <f t="shared" si="0"/>
        <v>0.03103</v>
      </c>
      <c r="AC32" s="9"/>
      <c r="AD32" s="3">
        <f>SUM(L32:Z32)/15</f>
        <v>0.0895066666666667</v>
      </c>
      <c r="AL32" s="8">
        <v>0.2566</v>
      </c>
      <c r="AM32" s="8">
        <v>0.2718</v>
      </c>
      <c r="AN32" s="8">
        <v>0.2885</v>
      </c>
      <c r="AO32" s="8">
        <v>0.2595</v>
      </c>
      <c r="AP32" s="8">
        <v>0.524</v>
      </c>
      <c r="AQ32" s="8">
        <v>0.3445</v>
      </c>
      <c r="AR32" s="8">
        <v>0.1751</v>
      </c>
      <c r="AS32" s="8">
        <v>0.2645</v>
      </c>
      <c r="AT32" s="8">
        <v>0.2605</v>
      </c>
      <c r="AU32" s="8">
        <v>0.3019</v>
      </c>
      <c r="AV32" s="8">
        <v>0.2474</v>
      </c>
      <c r="AW32" s="8">
        <v>0.2823</v>
      </c>
      <c r="AX32" s="8">
        <v>0.2053</v>
      </c>
      <c r="AY32" s="8">
        <v>0.3788</v>
      </c>
      <c r="AZ32" s="8">
        <v>0.3149</v>
      </c>
      <c r="BB32" s="11">
        <v>0.30784836500963</v>
      </c>
      <c r="BC32" s="11">
        <v>0.130953301591754</v>
      </c>
      <c r="BD32" s="11">
        <v>0.0250512908325602</v>
      </c>
      <c r="BE32" s="11">
        <v>0.102334327696592</v>
      </c>
      <c r="BF32" s="11">
        <v>0.031127431352026</v>
      </c>
      <c r="BG32" s="11">
        <f t="shared" si="1"/>
        <v>0.00176379826358164</v>
      </c>
      <c r="BH32" s="11">
        <v>0.0502664176948528</v>
      </c>
      <c r="BI32" s="11">
        <v>0.099588465612481</v>
      </c>
      <c r="BJ32" s="11">
        <v>0.044018291518692</v>
      </c>
    </row>
    <row r="33" ht="15.75" spans="1:65">
      <c r="A33" s="5" t="s">
        <v>60</v>
      </c>
      <c r="B33" s="24" t="s">
        <v>61</v>
      </c>
      <c r="C33" s="1">
        <v>1000</v>
      </c>
      <c r="D33" s="14">
        <v>38352</v>
      </c>
      <c r="E33" s="15">
        <v>39997</v>
      </c>
      <c r="F33" s="10">
        <v>-0.1192</v>
      </c>
      <c r="G33" s="10">
        <v>1.064</v>
      </c>
      <c r="H33" s="10">
        <v>1.6264</v>
      </c>
      <c r="I33" s="10">
        <v>-0.6288</v>
      </c>
      <c r="J33" s="10">
        <v>1.362</v>
      </c>
      <c r="K33" s="10">
        <v>-0.0397</v>
      </c>
      <c r="L33" s="10">
        <v>-0.2824</v>
      </c>
      <c r="M33" s="10">
        <v>0.014</v>
      </c>
      <c r="N33" s="10">
        <v>0.1975</v>
      </c>
      <c r="O33" s="10">
        <v>0.2517</v>
      </c>
      <c r="P33" s="10">
        <v>0.3767</v>
      </c>
      <c r="Q33" s="10">
        <v>-0.1766</v>
      </c>
      <c r="R33" s="10">
        <v>0.1433</v>
      </c>
      <c r="S33" s="10">
        <v>-0.3245</v>
      </c>
      <c r="T33" s="10">
        <v>0.2999</v>
      </c>
      <c r="U33" s="10">
        <v>0.4728</v>
      </c>
      <c r="V33" s="10">
        <v>-0.0837</v>
      </c>
      <c r="W33" s="10">
        <v>-0.1972</v>
      </c>
      <c r="X33" s="10">
        <v>-0.1021</v>
      </c>
      <c r="Y33" s="10">
        <v>0.1923</v>
      </c>
      <c r="Z33" s="10">
        <v>0.0737</v>
      </c>
      <c r="AA33" s="10"/>
      <c r="AB33" s="10">
        <f t="shared" si="0"/>
        <v>0.02979</v>
      </c>
      <c r="AC33" s="10"/>
      <c r="AD33" s="10">
        <f>SUM(F33:Z33)/21</f>
        <v>0.196195238095238</v>
      </c>
      <c r="AE33" s="8"/>
      <c r="AF33" s="8">
        <v>0.2362</v>
      </c>
      <c r="AG33" s="8">
        <v>0.2437</v>
      </c>
      <c r="AH33" s="8">
        <v>0.4038</v>
      </c>
      <c r="AI33" s="8">
        <v>0.5135</v>
      </c>
      <c r="AJ33" s="8">
        <v>0.3391</v>
      </c>
      <c r="AK33" s="8">
        <v>0.2745</v>
      </c>
      <c r="AL33" s="8">
        <v>0.2203</v>
      </c>
      <c r="AM33" s="8">
        <v>0.2124</v>
      </c>
      <c r="AN33" s="8">
        <v>0.2322</v>
      </c>
      <c r="AO33" s="8">
        <v>0.1911</v>
      </c>
      <c r="AP33" s="8">
        <v>0.4101</v>
      </c>
      <c r="AQ33" s="8">
        <v>0.2531</v>
      </c>
      <c r="AR33" s="8">
        <v>0.1254</v>
      </c>
      <c r="AS33" s="8">
        <v>0.23</v>
      </c>
      <c r="AT33" s="8">
        <v>0.2138</v>
      </c>
      <c r="AU33" s="8">
        <v>0.2661</v>
      </c>
      <c r="AV33" s="8">
        <v>0.22</v>
      </c>
      <c r="AW33" s="8">
        <v>0.2467</v>
      </c>
      <c r="AX33" s="8">
        <v>0.1652</v>
      </c>
      <c r="AY33" s="8">
        <v>0.2241</v>
      </c>
      <c r="AZ33" s="8">
        <v>0.1724</v>
      </c>
      <c r="BA33" s="8"/>
      <c r="BB33" s="11">
        <v>0.0736937590711175</v>
      </c>
      <c r="BC33" s="11">
        <v>0.0475147187072698</v>
      </c>
      <c r="BD33" s="11">
        <v>-0.0329950001607509</v>
      </c>
      <c r="BE33" s="11">
        <v>0.0712395109037447</v>
      </c>
      <c r="BF33" s="11">
        <v>0.0251235376975074</v>
      </c>
      <c r="BG33" s="11">
        <f t="shared" si="1"/>
        <v>0.00290471047496954</v>
      </c>
      <c r="BH33" s="11">
        <v>0.0322077048980938</v>
      </c>
      <c r="BI33" s="11">
        <v>0.0596662128017371</v>
      </c>
      <c r="BJ33" s="11">
        <v>0.0294550384369454</v>
      </c>
      <c r="BK33" s="11">
        <v>0.0765797250764197</v>
      </c>
      <c r="BL33" s="11">
        <v>0.0668284259363445</v>
      </c>
      <c r="BM33" s="11">
        <v>0.0908874597466816</v>
      </c>
    </row>
    <row r="34" ht="15.75" spans="1:65">
      <c r="A34" s="5" t="s">
        <v>62</v>
      </c>
      <c r="B34" s="25" t="s">
        <v>63</v>
      </c>
      <c r="C34" s="1">
        <v>1000</v>
      </c>
      <c r="D34" s="14">
        <v>38352</v>
      </c>
      <c r="E34" s="2">
        <v>39594</v>
      </c>
      <c r="F34" s="10">
        <v>-0.1095</v>
      </c>
      <c r="G34" s="10">
        <v>0.9806</v>
      </c>
      <c r="H34" s="10">
        <v>1.8933</v>
      </c>
      <c r="I34" s="10">
        <v>-0.6647</v>
      </c>
      <c r="J34" s="10">
        <v>1.0842</v>
      </c>
      <c r="K34" s="10">
        <v>-0.1328</v>
      </c>
      <c r="L34" s="10">
        <v>-0.2357</v>
      </c>
      <c r="M34" s="10">
        <v>0.0706</v>
      </c>
      <c r="N34" s="10">
        <v>-0.1015</v>
      </c>
      <c r="O34" s="10">
        <v>0.5168</v>
      </c>
      <c r="P34" s="10">
        <v>0.2686</v>
      </c>
      <c r="Q34" s="10">
        <v>-0.0764</v>
      </c>
      <c r="R34" s="10">
        <v>0.1757</v>
      </c>
      <c r="S34" s="10">
        <v>-0.1924</v>
      </c>
      <c r="T34" s="10">
        <v>0.1573</v>
      </c>
      <c r="U34" s="10">
        <v>0.0349</v>
      </c>
      <c r="V34" s="10">
        <v>0.1337</v>
      </c>
      <c r="W34" s="10">
        <v>-0.0545</v>
      </c>
      <c r="X34" s="10">
        <v>0.0089</v>
      </c>
      <c r="Y34" s="10">
        <v>0.1231</v>
      </c>
      <c r="Z34" s="10">
        <v>-0.0139</v>
      </c>
      <c r="AA34" s="10"/>
      <c r="AB34" s="10">
        <f t="shared" si="0"/>
        <v>0.02964</v>
      </c>
      <c r="AC34" s="10"/>
      <c r="AD34" s="3">
        <f>SUM(F34:Z34)/21</f>
        <v>0.184109523809524</v>
      </c>
      <c r="AE34" s="8"/>
      <c r="AF34" s="8">
        <v>0.1977</v>
      </c>
      <c r="AG34" s="8">
        <v>0.213</v>
      </c>
      <c r="AH34" s="8">
        <v>0.412</v>
      </c>
      <c r="AI34" s="8">
        <v>0.4823</v>
      </c>
      <c r="AJ34" s="8">
        <v>0.3622</v>
      </c>
      <c r="AK34" s="8">
        <v>0.2387</v>
      </c>
      <c r="AL34" s="8">
        <v>0.1953</v>
      </c>
      <c r="AM34" s="8">
        <v>0.1891</v>
      </c>
      <c r="AN34" s="8">
        <v>0.2308</v>
      </c>
      <c r="AO34" s="8">
        <v>0.1785</v>
      </c>
      <c r="AP34" s="8">
        <v>0.4165</v>
      </c>
      <c r="AQ34" s="8">
        <v>0.2142</v>
      </c>
      <c r="AR34" s="8">
        <v>0.0918</v>
      </c>
      <c r="AS34" s="8">
        <v>0.1891</v>
      </c>
      <c r="AT34" s="8">
        <v>0.1754</v>
      </c>
      <c r="AU34" s="8">
        <v>0.2086</v>
      </c>
      <c r="AV34" s="8">
        <v>0.1609</v>
      </c>
      <c r="AW34" s="8">
        <v>0.2008</v>
      </c>
      <c r="AX34" s="8">
        <v>0.1091</v>
      </c>
      <c r="AY34" s="8">
        <v>0.1891</v>
      </c>
      <c r="AZ34" s="8">
        <v>0.1203</v>
      </c>
      <c r="BA34" s="8"/>
      <c r="BB34" s="11">
        <v>-0.0138887395861328</v>
      </c>
      <c r="BC34" s="11">
        <v>0.0376835392154871</v>
      </c>
      <c r="BD34" s="11">
        <v>0.0367334573719074</v>
      </c>
      <c r="BE34" s="11">
        <v>0.0528964959071803</v>
      </c>
      <c r="BF34" s="11">
        <v>0.0349348266907883</v>
      </c>
      <c r="BG34" s="11">
        <f t="shared" si="1"/>
        <v>0.023222529460321</v>
      </c>
      <c r="BH34" s="11">
        <v>0.0434105758829555</v>
      </c>
      <c r="BI34" s="11">
        <v>0.0615940544292695</v>
      </c>
      <c r="BJ34" s="11">
        <v>0.0391786280485393</v>
      </c>
      <c r="BK34" s="11">
        <v>0.0711451825081948</v>
      </c>
      <c r="BL34" s="11">
        <v>0.0617283152467798</v>
      </c>
      <c r="BM34" s="11">
        <v>0.0846018129869686</v>
      </c>
    </row>
    <row r="35" ht="15.75" spans="1:65">
      <c r="A35" s="1" t="s">
        <v>64</v>
      </c>
      <c r="B35" s="25" t="s">
        <v>65</v>
      </c>
      <c r="C35" s="1">
        <v>1000</v>
      </c>
      <c r="D35" s="16">
        <v>39813</v>
      </c>
      <c r="E35" s="2">
        <v>41110</v>
      </c>
      <c r="J35" s="8">
        <v>1.1079</v>
      </c>
      <c r="K35" s="8">
        <v>0.0432</v>
      </c>
      <c r="L35" s="8">
        <v>-0.2143</v>
      </c>
      <c r="M35" s="8">
        <v>0.0593</v>
      </c>
      <c r="N35" s="8">
        <v>-0.0898</v>
      </c>
      <c r="O35" s="8">
        <v>0.7194</v>
      </c>
      <c r="P35" s="8">
        <v>-0.045</v>
      </c>
      <c r="Q35" s="8">
        <v>-0.0817</v>
      </c>
      <c r="R35" s="8">
        <v>0.1543</v>
      </c>
      <c r="S35" s="8">
        <v>-0.1253</v>
      </c>
      <c r="T35" s="8">
        <v>0.0751</v>
      </c>
      <c r="U35" s="8">
        <v>-0.0789</v>
      </c>
      <c r="V35" s="8">
        <v>0.0971</v>
      </c>
      <c r="W35" s="8">
        <v>-0.0627</v>
      </c>
      <c r="X35" s="8">
        <v>0.0278</v>
      </c>
      <c r="Y35" s="8">
        <v>0.231</v>
      </c>
      <c r="Z35" s="8">
        <v>0.0568</v>
      </c>
      <c r="AA35" s="10"/>
      <c r="AB35" s="10">
        <f t="shared" si="0"/>
        <v>0.02935</v>
      </c>
      <c r="AC35" s="10"/>
      <c r="AD35" s="3">
        <f>SUM(J35:Z35)/17</f>
        <v>0.110247058823529</v>
      </c>
      <c r="AJ35" s="8">
        <v>0.3638</v>
      </c>
      <c r="AK35" s="8">
        <v>0.2435</v>
      </c>
      <c r="AL35" s="8">
        <v>0.1739</v>
      </c>
      <c r="AM35" s="8">
        <v>0.1787</v>
      </c>
      <c r="AN35" s="8">
        <v>0.1877</v>
      </c>
      <c r="AO35" s="8">
        <v>0.1877</v>
      </c>
      <c r="AP35" s="8">
        <v>0.408</v>
      </c>
      <c r="AQ35" s="8">
        <v>0.1844</v>
      </c>
      <c r="AR35" s="8">
        <v>0.0858</v>
      </c>
      <c r="AS35" s="8">
        <v>0.1868</v>
      </c>
      <c r="AT35" s="8">
        <v>0.168</v>
      </c>
      <c r="AU35" s="8">
        <v>0.1882</v>
      </c>
      <c r="AV35" s="8">
        <v>0.195</v>
      </c>
      <c r="AW35" s="8">
        <v>0.1824</v>
      </c>
      <c r="AX35" s="8">
        <v>0.1418</v>
      </c>
      <c r="AY35" s="8">
        <v>0.1869</v>
      </c>
      <c r="AZ35" s="8">
        <v>0.1198</v>
      </c>
      <c r="BA35" s="8"/>
      <c r="BB35" s="8">
        <v>0.0568</v>
      </c>
      <c r="BC35" s="8">
        <v>0.1017</v>
      </c>
      <c r="BD35" s="8">
        <v>0.0658</v>
      </c>
      <c r="BE35" s="8">
        <v>0.0451</v>
      </c>
      <c r="BF35" s="8">
        <v>0.036</v>
      </c>
      <c r="BG35" s="11">
        <f t="shared" si="1"/>
        <v>0.0235810530464025</v>
      </c>
      <c r="BH35" s="8">
        <v>0.0172</v>
      </c>
      <c r="BI35" s="8">
        <v>0.0501</v>
      </c>
      <c r="BJ35" s="8">
        <v>0.0305</v>
      </c>
      <c r="BK35" s="8">
        <v>0.0756</v>
      </c>
      <c r="BL35" s="26" t="s">
        <v>11</v>
      </c>
      <c r="BM35" s="26" t="s">
        <v>11</v>
      </c>
    </row>
    <row r="36" ht="15.75" spans="1:65">
      <c r="A36" s="1" t="s">
        <v>66</v>
      </c>
      <c r="B36" s="25" t="s">
        <v>67</v>
      </c>
      <c r="C36" s="1">
        <v>1000</v>
      </c>
      <c r="D36" s="7">
        <v>38352</v>
      </c>
      <c r="E36" s="2">
        <v>40757</v>
      </c>
      <c r="F36" s="8">
        <v>-0.1099</v>
      </c>
      <c r="G36" s="8">
        <v>1.1217</v>
      </c>
      <c r="H36" s="8">
        <v>1.7088</v>
      </c>
      <c r="I36" s="8">
        <v>-0.6406</v>
      </c>
      <c r="J36" s="8">
        <v>1.0646</v>
      </c>
      <c r="K36" s="8">
        <v>-0.0377</v>
      </c>
      <c r="L36" s="8">
        <v>-0.2801</v>
      </c>
      <c r="M36" s="8">
        <v>0.0458</v>
      </c>
      <c r="N36" s="8">
        <v>0.0521</v>
      </c>
      <c r="O36" s="8">
        <v>0.4582</v>
      </c>
      <c r="P36" s="8">
        <v>0.3256</v>
      </c>
      <c r="Q36" s="8">
        <v>-0.1441</v>
      </c>
      <c r="R36" s="8">
        <v>0.0234</v>
      </c>
      <c r="S36" s="8">
        <v>-0.2994</v>
      </c>
      <c r="T36" s="8">
        <v>0.3111</v>
      </c>
      <c r="U36" s="8">
        <v>0.2492</v>
      </c>
      <c r="V36" s="8">
        <v>0.0619</v>
      </c>
      <c r="W36" s="8">
        <v>-0.2032</v>
      </c>
      <c r="X36" s="8">
        <v>-0.0704</v>
      </c>
      <c r="Y36" s="8">
        <v>0.0743</v>
      </c>
      <c r="Z36" s="8">
        <v>0.246</v>
      </c>
      <c r="AA36" s="9"/>
      <c r="AB36" s="10">
        <f t="shared" si="0"/>
        <v>0.02488</v>
      </c>
      <c r="AC36" s="9"/>
      <c r="AD36" s="3">
        <f>SUM(F36:Z36)/21</f>
        <v>0.188442857142857</v>
      </c>
      <c r="AF36" s="8">
        <v>0.2203</v>
      </c>
      <c r="AG36" s="8">
        <v>0.2223</v>
      </c>
      <c r="AH36" s="8">
        <v>0.369</v>
      </c>
      <c r="AI36" s="8">
        <v>0.4887</v>
      </c>
      <c r="AJ36" s="8">
        <v>0.3225</v>
      </c>
      <c r="AK36" s="8">
        <v>0.2493</v>
      </c>
      <c r="AL36" s="8">
        <v>0.2123</v>
      </c>
      <c r="AM36" s="8">
        <v>0.2109</v>
      </c>
      <c r="AN36" s="8">
        <v>0.2098</v>
      </c>
      <c r="AO36" s="8">
        <v>0.1755</v>
      </c>
      <c r="AP36" s="8">
        <v>0.4001</v>
      </c>
      <c r="AQ36" s="8">
        <v>0.2549</v>
      </c>
      <c r="AR36" s="8">
        <v>0.1115</v>
      </c>
      <c r="AS36" s="8">
        <v>0.2135</v>
      </c>
      <c r="AT36" s="8">
        <v>0.2063</v>
      </c>
      <c r="AU36" s="8">
        <v>0.2339</v>
      </c>
      <c r="AV36" s="8">
        <v>0.1601</v>
      </c>
      <c r="AW36" s="8">
        <v>0.2051</v>
      </c>
      <c r="AX36" s="8">
        <v>0.1277</v>
      </c>
      <c r="AY36" s="8">
        <v>0.2502</v>
      </c>
      <c r="AZ36" s="8">
        <v>0.1769</v>
      </c>
      <c r="BB36" s="10">
        <v>0.246</v>
      </c>
      <c r="BC36" s="10">
        <v>0.0756</v>
      </c>
      <c r="BD36" s="10">
        <v>0.0104</v>
      </c>
      <c r="BE36" s="10">
        <v>0.081</v>
      </c>
      <c r="BF36" s="10">
        <v>0.0239</v>
      </c>
      <c r="BG36" s="11">
        <f t="shared" si="1"/>
        <v>0.0057130634852165</v>
      </c>
      <c r="BH36" s="10">
        <v>0.0313</v>
      </c>
      <c r="BI36" s="10">
        <v>0.0607</v>
      </c>
      <c r="BJ36" s="10">
        <v>0.0327</v>
      </c>
      <c r="BK36" s="10">
        <v>0.0712</v>
      </c>
      <c r="BL36" s="10">
        <v>0.062</v>
      </c>
      <c r="BM36" s="10">
        <v>0.0884</v>
      </c>
    </row>
    <row r="37" ht="15.75" spans="1:65">
      <c r="A37" s="1" t="s">
        <v>68</v>
      </c>
      <c r="B37" s="25" t="s">
        <v>69</v>
      </c>
      <c r="C37" s="1">
        <v>1000</v>
      </c>
      <c r="D37" s="2">
        <v>38352</v>
      </c>
      <c r="E37" s="2">
        <v>39097</v>
      </c>
      <c r="F37" s="10">
        <v>-0.1399</v>
      </c>
      <c r="G37" s="10">
        <v>1.0068</v>
      </c>
      <c r="H37" s="10">
        <v>1.8663</v>
      </c>
      <c r="I37" s="10">
        <v>-0.608</v>
      </c>
      <c r="J37" s="10">
        <v>1.3127</v>
      </c>
      <c r="K37" s="10">
        <v>0.1007</v>
      </c>
      <c r="L37" s="10">
        <v>-0.3383</v>
      </c>
      <c r="M37" s="10">
        <v>0.0028</v>
      </c>
      <c r="N37" s="10">
        <v>0.1689</v>
      </c>
      <c r="O37" s="10">
        <v>0.3901</v>
      </c>
      <c r="P37" s="10">
        <v>0.4312</v>
      </c>
      <c r="Q37" s="17">
        <v>-0.1778</v>
      </c>
      <c r="R37" s="17">
        <v>-0.002</v>
      </c>
      <c r="S37" s="17">
        <v>-0.3332</v>
      </c>
      <c r="T37" s="17">
        <v>0.2638</v>
      </c>
      <c r="U37" s="17">
        <v>0.2087</v>
      </c>
      <c r="V37" s="17">
        <v>0.1558</v>
      </c>
      <c r="W37" s="17">
        <v>-0.2031</v>
      </c>
      <c r="X37" s="17">
        <v>-0.0742</v>
      </c>
      <c r="Y37" s="17">
        <v>0.0546</v>
      </c>
      <c r="Z37" s="17">
        <v>0.3039</v>
      </c>
      <c r="AA37" s="17"/>
      <c r="AB37" s="10">
        <f t="shared" si="0"/>
        <v>0.01965</v>
      </c>
      <c r="AC37" s="17"/>
      <c r="AD37" s="10">
        <f>SUM(F37:Z37)/21</f>
        <v>0.209038095238095</v>
      </c>
      <c r="AE37" s="8"/>
      <c r="AF37" s="8">
        <v>0.2544</v>
      </c>
      <c r="AG37" s="8">
        <v>0.2462</v>
      </c>
      <c r="AH37" s="8">
        <v>0.4164</v>
      </c>
      <c r="AI37" s="8">
        <v>0.5455</v>
      </c>
      <c r="AJ37" s="8">
        <v>0.3535</v>
      </c>
      <c r="AK37" s="8">
        <v>0.2834</v>
      </c>
      <c r="AL37" s="8">
        <v>0.24</v>
      </c>
      <c r="AM37" s="8">
        <v>0.2401</v>
      </c>
      <c r="AN37" s="8">
        <v>0.2252</v>
      </c>
      <c r="AO37" s="8">
        <v>0.1946</v>
      </c>
      <c r="AP37" s="8">
        <v>0.4455</v>
      </c>
      <c r="AQ37" s="8">
        <v>0.2906</v>
      </c>
      <c r="AR37" s="8">
        <v>0.1462</v>
      </c>
      <c r="AS37" s="8">
        <v>0.239</v>
      </c>
      <c r="AT37" s="8">
        <v>0.2307</v>
      </c>
      <c r="AU37" s="8">
        <v>0.2542</v>
      </c>
      <c r="AV37" s="8">
        <v>0.1513</v>
      </c>
      <c r="AW37" s="8">
        <v>0.2163</v>
      </c>
      <c r="AX37" s="8">
        <v>0.1282</v>
      </c>
      <c r="AY37" s="8">
        <v>0.2822</v>
      </c>
      <c r="AZ37" s="8">
        <v>0.1971</v>
      </c>
      <c r="BA37" s="8"/>
      <c r="BB37" s="11">
        <v>0.303863437500546</v>
      </c>
      <c r="BC37" s="11">
        <v>0.0837889888341135</v>
      </c>
      <c r="BD37" s="11">
        <v>0.0323432531386587</v>
      </c>
      <c r="BE37" s="11">
        <v>0.086829917389027</v>
      </c>
      <c r="BF37" s="11">
        <v>0.0196961135520293</v>
      </c>
      <c r="BG37" s="11">
        <f t="shared" si="1"/>
        <v>-0.00202092611022409</v>
      </c>
      <c r="BH37" s="11">
        <v>0.0312341532705978</v>
      </c>
      <c r="BI37" s="11">
        <v>0.0654137071034038</v>
      </c>
      <c r="BJ37" s="11">
        <v>0.0279570398077078</v>
      </c>
      <c r="BK37" s="11">
        <v>0.0825167848484434</v>
      </c>
      <c r="BL37" s="11">
        <v>0.0801221326113239</v>
      </c>
      <c r="BM37" s="11">
        <v>0.100460420586442</v>
      </c>
    </row>
    <row r="38" ht="15.75" spans="1:65">
      <c r="A38" s="5" t="s">
        <v>70</v>
      </c>
      <c r="B38" s="24" t="s">
        <v>71</v>
      </c>
      <c r="C38" s="1">
        <v>1000</v>
      </c>
      <c r="D38" s="14">
        <v>38352</v>
      </c>
      <c r="E38" s="15">
        <v>39997</v>
      </c>
      <c r="F38" s="10">
        <v>-0.1201</v>
      </c>
      <c r="G38" s="10">
        <v>1.0362</v>
      </c>
      <c r="H38" s="10">
        <v>1.8479</v>
      </c>
      <c r="I38" s="10">
        <v>-0.6552</v>
      </c>
      <c r="J38" s="10">
        <v>0.8612</v>
      </c>
      <c r="K38" s="10">
        <v>0.0437</v>
      </c>
      <c r="L38" s="10">
        <v>-0.3552</v>
      </c>
      <c r="M38" s="10">
        <v>-0.0327</v>
      </c>
      <c r="N38" s="10">
        <v>0.0123</v>
      </c>
      <c r="O38" s="10">
        <v>0.5573</v>
      </c>
      <c r="P38" s="10">
        <v>0.1799</v>
      </c>
      <c r="Q38" s="10">
        <v>-0.1753</v>
      </c>
      <c r="R38" s="10">
        <v>0.0104</v>
      </c>
      <c r="S38" s="10">
        <v>-0.3062</v>
      </c>
      <c r="T38" s="10">
        <v>0.1766</v>
      </c>
      <c r="U38" s="10">
        <v>0.3631</v>
      </c>
      <c r="V38" s="10">
        <v>0.171</v>
      </c>
      <c r="W38" s="10">
        <v>-0.2375</v>
      </c>
      <c r="X38" s="10">
        <v>-0.2147</v>
      </c>
      <c r="Y38" s="10">
        <v>0.1147</v>
      </c>
      <c r="Z38" s="10">
        <v>0.2207</v>
      </c>
      <c r="AA38" s="10"/>
      <c r="AB38" s="10">
        <f t="shared" si="0"/>
        <v>0.01228</v>
      </c>
      <c r="AC38" s="10"/>
      <c r="AD38" s="10">
        <f>SUM(F38:Z38)/21</f>
        <v>0.166576190476191</v>
      </c>
      <c r="AE38" s="8"/>
      <c r="AF38" s="8">
        <v>0.2206</v>
      </c>
      <c r="AG38" s="8">
        <v>0.2351</v>
      </c>
      <c r="AH38" s="8">
        <v>0.3907</v>
      </c>
      <c r="AI38" s="8">
        <v>0.5133</v>
      </c>
      <c r="AJ38" s="8">
        <v>0.327</v>
      </c>
      <c r="AK38" s="8">
        <v>0.2618</v>
      </c>
      <c r="AL38" s="8">
        <v>0.227</v>
      </c>
      <c r="AM38" s="8">
        <v>0.2216</v>
      </c>
      <c r="AN38" s="8">
        <v>0.224</v>
      </c>
      <c r="AO38" s="8">
        <v>0.2049</v>
      </c>
      <c r="AP38" s="8">
        <v>0.4596</v>
      </c>
      <c r="AQ38" s="8">
        <v>0.2762</v>
      </c>
      <c r="AR38" s="8">
        <v>0.1242</v>
      </c>
      <c r="AS38" s="8">
        <v>0.2052</v>
      </c>
      <c r="AT38" s="8">
        <v>0.2048</v>
      </c>
      <c r="AU38" s="8">
        <v>0.2414</v>
      </c>
      <c r="AV38" s="8">
        <v>0.2156</v>
      </c>
      <c r="AW38" s="8">
        <v>0.2529</v>
      </c>
      <c r="AX38" s="8">
        <v>0.1542</v>
      </c>
      <c r="AY38" s="8">
        <v>0.2633</v>
      </c>
      <c r="AZ38" s="8">
        <v>0.1916</v>
      </c>
      <c r="BA38" s="8"/>
      <c r="BB38" s="11">
        <v>0.220705137129333</v>
      </c>
      <c r="BC38" s="11">
        <v>0.0223403054211566</v>
      </c>
      <c r="BD38" s="11">
        <v>-0.00935004201023615</v>
      </c>
      <c r="BE38" s="11">
        <v>0.0626586011573649</v>
      </c>
      <c r="BF38" s="11">
        <v>0.00783765216498922</v>
      </c>
      <c r="BG38" s="11">
        <f t="shared" si="1"/>
        <v>-0.0121724805486598</v>
      </c>
      <c r="BH38" s="11">
        <v>0.00390835759750074</v>
      </c>
      <c r="BI38" s="11">
        <v>0.039055093032087</v>
      </c>
      <c r="BJ38" s="11">
        <v>0.00173258303413837</v>
      </c>
      <c r="BK38" s="11">
        <v>0.0414205074676455</v>
      </c>
      <c r="BL38" s="11">
        <v>0.035987168641668</v>
      </c>
      <c r="BM38" s="11">
        <v>0.0615764317051612</v>
      </c>
    </row>
    <row r="39" s="1" customFormat="1" ht="15.75" spans="1:65">
      <c r="A39" s="5" t="s">
        <v>72</v>
      </c>
      <c r="B39" s="25" t="s">
        <v>73</v>
      </c>
      <c r="C39" s="1">
        <v>1000</v>
      </c>
      <c r="D39" s="14">
        <v>38352</v>
      </c>
      <c r="E39" s="2">
        <v>41110</v>
      </c>
      <c r="F39" s="8">
        <v>-0.0459</v>
      </c>
      <c r="G39" s="8">
        <v>0.9655</v>
      </c>
      <c r="H39" s="8">
        <v>1.8823</v>
      </c>
      <c r="I39" s="8">
        <v>-0.5688</v>
      </c>
      <c r="J39" s="8">
        <v>1.2145</v>
      </c>
      <c r="K39" s="8">
        <v>0.1861</v>
      </c>
      <c r="L39" s="8">
        <v>-0.308</v>
      </c>
      <c r="M39" s="8">
        <v>-0.0186</v>
      </c>
      <c r="N39" s="8">
        <v>0.1789</v>
      </c>
      <c r="O39" s="8">
        <v>0.3727</v>
      </c>
      <c r="P39" s="8">
        <v>0.5144</v>
      </c>
      <c r="Q39" s="8">
        <v>-0.1226</v>
      </c>
      <c r="R39" s="8">
        <v>0.0031</v>
      </c>
      <c r="S39" s="8">
        <v>-0.2415</v>
      </c>
      <c r="T39" s="8">
        <v>0.1272</v>
      </c>
      <c r="U39" s="8">
        <v>0.0224</v>
      </c>
      <c r="V39" s="8">
        <v>0.17</v>
      </c>
      <c r="W39" s="8">
        <v>-0.07</v>
      </c>
      <c r="X39" s="8">
        <v>0.0495</v>
      </c>
      <c r="Y39" s="8">
        <v>0.1058</v>
      </c>
      <c r="Z39" s="8">
        <v>0.0427</v>
      </c>
      <c r="AA39" s="10"/>
      <c r="AB39" s="10">
        <f t="shared" si="0"/>
        <v>0.00866</v>
      </c>
      <c r="AC39" s="10"/>
      <c r="AD39" s="3">
        <f>SUM(F39:Z39)/21</f>
        <v>0.212366666666667</v>
      </c>
      <c r="AE39" s="8"/>
      <c r="AF39" s="8">
        <v>0.2398</v>
      </c>
      <c r="AG39" s="8">
        <v>0.2598</v>
      </c>
      <c r="AH39" s="8">
        <v>0.424</v>
      </c>
      <c r="AI39" s="8">
        <v>0.5384</v>
      </c>
      <c r="AJ39" s="8">
        <v>0.3471</v>
      </c>
      <c r="AK39" s="8">
        <v>0.2713</v>
      </c>
      <c r="AL39" s="8">
        <v>0.228</v>
      </c>
      <c r="AM39" s="8">
        <v>0.218</v>
      </c>
      <c r="AN39" s="8">
        <v>0.2109</v>
      </c>
      <c r="AO39" s="8">
        <v>0.2026</v>
      </c>
      <c r="AP39" s="8">
        <v>0.5149</v>
      </c>
      <c r="AQ39" s="8">
        <v>0.2921</v>
      </c>
      <c r="AR39" s="8">
        <v>0.1511</v>
      </c>
      <c r="AS39" s="8">
        <v>0.2248</v>
      </c>
      <c r="AT39" s="8">
        <v>0.2096</v>
      </c>
      <c r="AU39" s="8">
        <v>0.2271</v>
      </c>
      <c r="AV39" s="8">
        <v>0.1907</v>
      </c>
      <c r="AW39" s="8">
        <v>0.2257</v>
      </c>
      <c r="AX39" s="8">
        <v>0.1192</v>
      </c>
      <c r="AY39" s="8">
        <v>0.212</v>
      </c>
      <c r="AZ39" s="8">
        <v>0.1406</v>
      </c>
      <c r="BA39" s="8"/>
      <c r="BB39" s="8">
        <v>0.0427</v>
      </c>
      <c r="BC39" s="8">
        <v>0.0656</v>
      </c>
      <c r="BD39" s="8">
        <v>0.0566</v>
      </c>
      <c r="BE39" s="8">
        <v>0.0614</v>
      </c>
      <c r="BF39" s="8">
        <v>0.0161</v>
      </c>
      <c r="BG39" s="11">
        <f t="shared" si="1"/>
        <v>0.00129620287944876</v>
      </c>
      <c r="BH39" s="8">
        <v>0.0397</v>
      </c>
      <c r="BI39" s="8">
        <v>0.0725</v>
      </c>
      <c r="BJ39" s="8">
        <v>0.0354</v>
      </c>
      <c r="BK39" s="8">
        <v>0.0915</v>
      </c>
      <c r="BL39" s="8">
        <v>0.0939</v>
      </c>
      <c r="BM39" s="8">
        <v>0.1176</v>
      </c>
    </row>
    <row r="40" s="1" customFormat="1" ht="15.75" spans="1:65">
      <c r="A40" s="6" t="s">
        <v>74</v>
      </c>
      <c r="B40" s="6">
        <v>399975</v>
      </c>
      <c r="C40" s="1">
        <v>1000</v>
      </c>
      <c r="D40" s="7">
        <v>39262</v>
      </c>
      <c r="E40" s="2">
        <v>41470</v>
      </c>
      <c r="F40" s="2"/>
      <c r="G40" s="2"/>
      <c r="H40" s="2"/>
      <c r="I40" s="8">
        <v>-0.6222</v>
      </c>
      <c r="J40" s="8">
        <v>0.8853</v>
      </c>
      <c r="K40" s="8">
        <v>-0.4278</v>
      </c>
      <c r="L40" s="8">
        <v>-0.3423</v>
      </c>
      <c r="M40" s="8">
        <v>0.3128</v>
      </c>
      <c r="N40" s="8">
        <v>-0.0264</v>
      </c>
      <c r="O40" s="8">
        <v>1.5403</v>
      </c>
      <c r="P40" s="8">
        <v>-0.2771</v>
      </c>
      <c r="Q40" s="8">
        <v>-0.1877</v>
      </c>
      <c r="R40" s="8">
        <v>-0.1235</v>
      </c>
      <c r="S40" s="8">
        <v>-0.2622</v>
      </c>
      <c r="T40" s="8">
        <v>0.445</v>
      </c>
      <c r="U40" s="8">
        <v>0.1655</v>
      </c>
      <c r="V40" s="8">
        <v>-0.0495</v>
      </c>
      <c r="W40" s="8">
        <v>-0.2737</v>
      </c>
      <c r="X40" s="8">
        <v>0.0304</v>
      </c>
      <c r="Y40" s="8">
        <v>0.2726</v>
      </c>
      <c r="Z40" s="8">
        <v>0.0254</v>
      </c>
      <c r="AA40" s="9"/>
      <c r="AB40" s="10">
        <f t="shared" si="0"/>
        <v>0.00423</v>
      </c>
      <c r="AC40" s="9"/>
      <c r="AD40" s="3">
        <f>SUM(I40:Z40)/18</f>
        <v>0.0602722222222222</v>
      </c>
      <c r="AI40" s="8">
        <v>0.7269</v>
      </c>
      <c r="AJ40" s="8">
        <v>0.442</v>
      </c>
      <c r="AK40" s="8">
        <v>0.3764</v>
      </c>
      <c r="AL40" s="8">
        <v>0.2894</v>
      </c>
      <c r="AM40" s="8">
        <v>0.3487</v>
      </c>
      <c r="AN40" s="8">
        <v>0.3643</v>
      </c>
      <c r="AO40" s="8">
        <v>0.373</v>
      </c>
      <c r="AP40" s="8">
        <v>0.5778</v>
      </c>
      <c r="AQ40" s="8">
        <v>0.3403</v>
      </c>
      <c r="AR40" s="8">
        <v>0.1663</v>
      </c>
      <c r="AS40" s="8">
        <v>0.3003</v>
      </c>
      <c r="AT40" s="8">
        <v>0.3479</v>
      </c>
      <c r="AU40" s="8">
        <v>0.3622</v>
      </c>
      <c r="AV40" s="8">
        <v>0.2458</v>
      </c>
      <c r="AW40" s="8">
        <v>0.2594</v>
      </c>
      <c r="AX40" s="8">
        <v>0.2199</v>
      </c>
      <c r="AY40" s="8">
        <v>0.3236</v>
      </c>
      <c r="AZ40" s="8">
        <v>0.235</v>
      </c>
      <c r="BB40" s="11">
        <v>0.0254362650182203</v>
      </c>
      <c r="BC40" s="11">
        <v>0.103746441896304</v>
      </c>
      <c r="BD40" s="11">
        <v>-0.0147599969871279</v>
      </c>
      <c r="BE40" s="11">
        <v>0.0659263492492745</v>
      </c>
      <c r="BF40" s="11">
        <v>0.00122459942894104</v>
      </c>
      <c r="BG40" s="11">
        <f t="shared" si="1"/>
        <v>-0.0194945644361078</v>
      </c>
      <c r="BH40" s="11">
        <v>-0.0462945660640752</v>
      </c>
      <c r="BI40" s="11">
        <v>0.0299913147717703</v>
      </c>
      <c r="BJ40" s="11">
        <v>0.0159461758044068</v>
      </c>
      <c r="BK40" s="11">
        <v>0.0185921981199078</v>
      </c>
    </row>
    <row r="41" s="1" customFormat="1" ht="15.75" spans="1:65">
      <c r="A41" s="6" t="s">
        <v>75</v>
      </c>
      <c r="B41" s="6">
        <v>399989</v>
      </c>
      <c r="C41" s="1">
        <v>1000</v>
      </c>
      <c r="D41" s="2">
        <v>38352</v>
      </c>
      <c r="E41" s="2">
        <v>41943</v>
      </c>
      <c r="F41" s="18">
        <v>-0.1315</v>
      </c>
      <c r="G41" s="18">
        <v>0.4876</v>
      </c>
      <c r="H41" s="18">
        <v>1.2263</v>
      </c>
      <c r="I41" s="18">
        <v>-0.4712</v>
      </c>
      <c r="J41" s="18">
        <v>1.3395</v>
      </c>
      <c r="K41" s="18">
        <v>0.29</v>
      </c>
      <c r="L41" s="18">
        <v>-0.302</v>
      </c>
      <c r="M41" s="18">
        <v>-0.0766</v>
      </c>
      <c r="N41" s="18">
        <v>0.776</v>
      </c>
      <c r="O41" s="18">
        <v>0.2051</v>
      </c>
      <c r="P41" s="18">
        <v>0.6766</v>
      </c>
      <c r="Q41" s="18">
        <v>-0.2439</v>
      </c>
      <c r="R41" s="18">
        <v>-0.1352</v>
      </c>
      <c r="S41" s="18">
        <v>-0.1179</v>
      </c>
      <c r="T41" s="18">
        <v>0.4867</v>
      </c>
      <c r="U41" s="18">
        <v>0.7967</v>
      </c>
      <c r="V41" s="18">
        <v>-0.1471</v>
      </c>
      <c r="W41" s="18">
        <v>-0.251</v>
      </c>
      <c r="X41" s="18">
        <v>-0.2425</v>
      </c>
      <c r="Y41" s="18">
        <v>-0.1716</v>
      </c>
      <c r="Z41" s="18">
        <v>0.0308</v>
      </c>
      <c r="AA41" s="9"/>
      <c r="AB41" s="10">
        <f t="shared" si="0"/>
        <v>0.000499999999999998</v>
      </c>
      <c r="AC41" s="9"/>
      <c r="AD41" s="3">
        <f>SUM(F41:Z41)/21</f>
        <v>0.191657142857143</v>
      </c>
      <c r="AF41" s="18">
        <v>0.2659</v>
      </c>
      <c r="AG41" s="18">
        <v>0.3452</v>
      </c>
      <c r="AH41" s="18">
        <v>0.4777</v>
      </c>
      <c r="AI41" s="18">
        <v>0.579</v>
      </c>
      <c r="AJ41" s="18">
        <v>0.3599</v>
      </c>
      <c r="AK41" s="18">
        <v>0.3207</v>
      </c>
      <c r="AL41" s="18">
        <v>0.2358</v>
      </c>
      <c r="AM41" s="18">
        <v>0.2548</v>
      </c>
      <c r="AN41" s="18">
        <v>0.3026</v>
      </c>
      <c r="AO41" s="18">
        <v>0.2383</v>
      </c>
      <c r="AP41" s="18">
        <v>0.5057</v>
      </c>
      <c r="AQ41" s="18">
        <v>0.3243</v>
      </c>
      <c r="AR41" s="18">
        <v>0.174</v>
      </c>
      <c r="AS41" s="18">
        <v>0.299</v>
      </c>
      <c r="AT41" s="18">
        <v>0.2434</v>
      </c>
      <c r="AU41" s="18">
        <v>0.3072</v>
      </c>
      <c r="AV41" s="18">
        <v>0.3347</v>
      </c>
      <c r="AW41" s="18">
        <v>0.3087</v>
      </c>
      <c r="AX41" s="18">
        <v>0.1999</v>
      </c>
      <c r="AY41" s="18">
        <v>0.3481</v>
      </c>
      <c r="AZ41" s="18">
        <v>0.2162</v>
      </c>
      <c r="BB41" s="19">
        <v>0.0307750719325186</v>
      </c>
      <c r="BC41" s="19">
        <v>-0.135173002244907</v>
      </c>
      <c r="BD41" s="19">
        <v>-0.162008200944188</v>
      </c>
      <c r="BE41" s="19">
        <v>0.0142070226121631</v>
      </c>
      <c r="BF41" s="19">
        <v>-0.0189221375712399</v>
      </c>
      <c r="BG41" s="11">
        <f t="shared" si="1"/>
        <v>-0.0441471214759481</v>
      </c>
      <c r="BH41" s="19">
        <v>0.00595679394189608</v>
      </c>
      <c r="BI41" s="19">
        <v>0.0656196888361051</v>
      </c>
      <c r="BJ41" s="19">
        <v>0.0261387787808975</v>
      </c>
      <c r="BK41" s="19">
        <v>0.0917062428539528</v>
      </c>
      <c r="BL41" s="19">
        <v>0.0910041280336145</v>
      </c>
      <c r="BM41" s="19">
        <v>0.0952706620238624</v>
      </c>
    </row>
    <row r="42" s="1" customFormat="1" ht="15.75" spans="1:65">
      <c r="A42" s="6" t="s">
        <v>76</v>
      </c>
      <c r="B42" s="6">
        <v>930606</v>
      </c>
      <c r="C42" s="1">
        <v>1000</v>
      </c>
      <c r="D42" s="7">
        <v>39813</v>
      </c>
      <c r="E42" s="2">
        <v>42094</v>
      </c>
      <c r="F42" s="2"/>
      <c r="G42" s="2"/>
      <c r="H42" s="2"/>
      <c r="I42" s="2"/>
      <c r="J42" s="8">
        <v>0.9878</v>
      </c>
      <c r="K42" s="8">
        <v>-0.3105</v>
      </c>
      <c r="L42" s="8">
        <v>-0.2642</v>
      </c>
      <c r="M42" s="8">
        <v>-0.0536</v>
      </c>
      <c r="N42" s="8">
        <v>-0.2087</v>
      </c>
      <c r="O42" s="8">
        <v>0.7128</v>
      </c>
      <c r="P42" s="8">
        <v>0.0943</v>
      </c>
      <c r="Q42" s="8">
        <v>-0.0828</v>
      </c>
      <c r="R42" s="8">
        <v>0.0972</v>
      </c>
      <c r="S42" s="8">
        <v>-0.3265</v>
      </c>
      <c r="T42" s="8">
        <v>-0.0157</v>
      </c>
      <c r="U42" s="8">
        <v>0.0178</v>
      </c>
      <c r="V42" s="8">
        <v>0.3411</v>
      </c>
      <c r="W42" s="8">
        <v>-0.2449</v>
      </c>
      <c r="X42" s="8">
        <v>-0.0689</v>
      </c>
      <c r="Y42" s="8">
        <v>0.008</v>
      </c>
      <c r="Z42" s="8">
        <v>0.2751</v>
      </c>
      <c r="AA42" s="9"/>
      <c r="AB42" s="10">
        <f t="shared" si="0"/>
        <v>3.99999999999956e-5</v>
      </c>
      <c r="AC42" s="9"/>
      <c r="AD42" s="3">
        <f>SUM(J42:Z42)/17</f>
        <v>0.0563705882352941</v>
      </c>
      <c r="AJ42" s="8">
        <v>0.4175</v>
      </c>
      <c r="AK42" s="8">
        <v>0.2817</v>
      </c>
      <c r="AL42" s="8">
        <v>0.2413</v>
      </c>
      <c r="AM42" s="8">
        <v>0.22</v>
      </c>
      <c r="AN42" s="8">
        <v>0.197</v>
      </c>
      <c r="AO42" s="8">
        <v>0.2366</v>
      </c>
      <c r="AP42" s="8">
        <v>0.433</v>
      </c>
      <c r="AQ42" s="8">
        <v>0.3204</v>
      </c>
      <c r="AR42" s="8">
        <v>0.2199</v>
      </c>
      <c r="AS42" s="8">
        <v>0.239</v>
      </c>
      <c r="AT42" s="8">
        <v>0.2289</v>
      </c>
      <c r="AU42" s="8">
        <v>0.2497</v>
      </c>
      <c r="AV42" s="8">
        <v>0.3533</v>
      </c>
      <c r="AW42" s="8">
        <v>0.2477</v>
      </c>
      <c r="AX42" s="8">
        <v>0.1547</v>
      </c>
      <c r="AY42" s="8">
        <v>0.2545</v>
      </c>
      <c r="AZ42" s="8">
        <v>0.2109</v>
      </c>
      <c r="BB42" s="11">
        <v>0.27512341422301</v>
      </c>
      <c r="BC42" s="11">
        <v>0.0616982403006807</v>
      </c>
      <c r="BD42" s="11">
        <v>0.0391906921963963</v>
      </c>
      <c r="BE42" s="11">
        <v>0.0281098648669311</v>
      </c>
      <c r="BF42" s="11">
        <v>-0.0119723692464356</v>
      </c>
      <c r="BG42" s="11">
        <f t="shared" si="1"/>
        <v>-0.0192945570645703</v>
      </c>
      <c r="BH42" s="11">
        <v>-0.00947559580708957</v>
      </c>
      <c r="BI42" s="11">
        <v>0.0154513499284832</v>
      </c>
      <c r="BJ42" s="11">
        <v>-0.0107810374242893</v>
      </c>
      <c r="BK42" s="11">
        <v>0.00902100998653288</v>
      </c>
      <c r="BL42" s="12" t="s">
        <v>11</v>
      </c>
      <c r="BM42" s="12" t="s">
        <v>11</v>
      </c>
    </row>
    <row r="43" ht="15.75" spans="1:65">
      <c r="A43" s="5" t="s">
        <v>77</v>
      </c>
      <c r="B43" s="24" t="s">
        <v>78</v>
      </c>
      <c r="C43" s="1">
        <v>1000</v>
      </c>
      <c r="D43" s="14">
        <v>38352</v>
      </c>
      <c r="E43" s="15">
        <v>39997</v>
      </c>
      <c r="F43" s="10">
        <v>-0.1653</v>
      </c>
      <c r="G43" s="10">
        <v>0.899</v>
      </c>
      <c r="H43" s="10">
        <v>2.0434</v>
      </c>
      <c r="I43" s="10">
        <v>-0.4258</v>
      </c>
      <c r="J43" s="10">
        <v>0.9793</v>
      </c>
      <c r="K43" s="10">
        <v>0.2383</v>
      </c>
      <c r="L43" s="10">
        <v>-0.3107</v>
      </c>
      <c r="M43" s="10">
        <v>0.0984</v>
      </c>
      <c r="N43" s="10">
        <v>0.2882</v>
      </c>
      <c r="O43" s="10">
        <v>0.1006</v>
      </c>
      <c r="P43" s="10">
        <v>0.4272</v>
      </c>
      <c r="Q43" s="10">
        <v>-0.1212</v>
      </c>
      <c r="R43" s="10">
        <v>0.1375</v>
      </c>
      <c r="S43" s="10">
        <v>-0.2597</v>
      </c>
      <c r="T43" s="10">
        <v>0.3005</v>
      </c>
      <c r="U43" s="10">
        <v>0.5087</v>
      </c>
      <c r="V43" s="10">
        <v>-0.1224</v>
      </c>
      <c r="W43" s="10">
        <v>-0.2244</v>
      </c>
      <c r="X43" s="10">
        <v>-0.1245</v>
      </c>
      <c r="Y43" s="10">
        <v>-0.1386</v>
      </c>
      <c r="Z43" s="10">
        <v>0.0436</v>
      </c>
      <c r="AA43" s="10"/>
      <c r="AB43" s="10">
        <f t="shared" si="0"/>
        <v>-4.99999999999917e-5</v>
      </c>
      <c r="AC43" s="10"/>
      <c r="AD43" s="10">
        <f>SUM(F43:Z43)/21</f>
        <v>0.198671428571428</v>
      </c>
      <c r="AE43" s="8"/>
      <c r="AF43" s="8">
        <v>0.226</v>
      </c>
      <c r="AG43" s="8">
        <v>0.2482</v>
      </c>
      <c r="AH43" s="8">
        <v>0.4077</v>
      </c>
      <c r="AI43" s="8">
        <v>0.5029</v>
      </c>
      <c r="AJ43" s="8">
        <v>0.2975</v>
      </c>
      <c r="AK43" s="8">
        <v>0.2973</v>
      </c>
      <c r="AL43" s="8">
        <v>0.2181</v>
      </c>
      <c r="AM43" s="8">
        <v>0.2236</v>
      </c>
      <c r="AN43" s="8">
        <v>0.2315</v>
      </c>
      <c r="AO43" s="8">
        <v>0.1711</v>
      </c>
      <c r="AP43" s="8">
        <v>0.4104</v>
      </c>
      <c r="AQ43" s="8">
        <v>0.2485</v>
      </c>
      <c r="AR43" s="8">
        <v>0.1206</v>
      </c>
      <c r="AS43" s="8">
        <v>0.2669</v>
      </c>
      <c r="AT43" s="8">
        <v>0.2196</v>
      </c>
      <c r="AU43" s="8">
        <v>0.274</v>
      </c>
      <c r="AV43" s="8">
        <v>0.276</v>
      </c>
      <c r="AW43" s="8">
        <v>0.2764</v>
      </c>
      <c r="AX43" s="8">
        <v>0.171</v>
      </c>
      <c r="AY43" s="8">
        <v>0.2839</v>
      </c>
      <c r="AZ43" s="8">
        <v>0.1809</v>
      </c>
      <c r="BA43" s="8"/>
      <c r="BB43" s="11">
        <v>0.0436328269108228</v>
      </c>
      <c r="BC43" s="11">
        <v>-0.0767289280959882</v>
      </c>
      <c r="BD43" s="11">
        <v>-0.117354607901402</v>
      </c>
      <c r="BE43" s="11">
        <v>0.00715034884277754</v>
      </c>
      <c r="BF43" s="11">
        <v>-0.0134678232859439</v>
      </c>
      <c r="BG43" s="11">
        <f t="shared" si="1"/>
        <v>-0.0248102359756903</v>
      </c>
      <c r="BH43" s="11">
        <v>0.00954515033809011</v>
      </c>
      <c r="BI43" s="11">
        <v>0.0355079832173941</v>
      </c>
      <c r="BJ43" s="11">
        <v>0.0117650670899296</v>
      </c>
      <c r="BK43" s="11">
        <v>0.0650858105777254</v>
      </c>
      <c r="BL43" s="11">
        <v>0.089580301616506</v>
      </c>
      <c r="BM43" s="11">
        <v>0.104682265978101</v>
      </c>
    </row>
    <row r="44" ht="15.75" spans="1:65">
      <c r="A44" s="13" t="s">
        <v>79</v>
      </c>
      <c r="B44" s="6">
        <v>930726</v>
      </c>
      <c r="C44" s="1">
        <v>1000</v>
      </c>
      <c r="D44" s="15">
        <v>41089</v>
      </c>
      <c r="E44" s="2">
        <v>42221</v>
      </c>
      <c r="N44" s="18">
        <v>0.6141</v>
      </c>
      <c r="O44" s="18">
        <v>0.222</v>
      </c>
      <c r="P44" s="18">
        <v>0.7747</v>
      </c>
      <c r="Q44" s="18">
        <v>-0.1937</v>
      </c>
      <c r="R44" s="18">
        <v>0.05</v>
      </c>
      <c r="S44" s="18">
        <v>-0.2564</v>
      </c>
      <c r="T44" s="18">
        <v>0.445</v>
      </c>
      <c r="U44" s="18">
        <v>0.5475</v>
      </c>
      <c r="V44" s="18">
        <v>-0.149</v>
      </c>
      <c r="W44" s="18">
        <v>-0.2523</v>
      </c>
      <c r="X44" s="18">
        <v>-0.0674</v>
      </c>
      <c r="Y44" s="18">
        <v>-0.2113</v>
      </c>
      <c r="Z44" s="18">
        <v>0.0859</v>
      </c>
      <c r="AA44" s="9"/>
      <c r="AB44" s="10">
        <f t="shared" si="0"/>
        <v>-0.000169999999999999</v>
      </c>
      <c r="AC44" s="9"/>
      <c r="AD44" s="3">
        <f>SUM(N44:Z44)/13</f>
        <v>0.123776923076923</v>
      </c>
      <c r="AM44" s="18">
        <v>0.156</v>
      </c>
      <c r="AN44" s="18">
        <v>0.2646</v>
      </c>
      <c r="AO44" s="18">
        <v>0.2004</v>
      </c>
      <c r="AP44" s="18">
        <v>0.4069</v>
      </c>
      <c r="AQ44" s="18">
        <v>0.282</v>
      </c>
      <c r="AR44" s="18">
        <v>0.1479</v>
      </c>
      <c r="AS44" s="18">
        <v>0.2981</v>
      </c>
      <c r="AT44" s="18">
        <v>0.2448</v>
      </c>
      <c r="AU44" s="18">
        <v>0.311</v>
      </c>
      <c r="AV44" s="18">
        <v>0.2633</v>
      </c>
      <c r="AW44" s="18">
        <v>0.2889</v>
      </c>
      <c r="AX44" s="18">
        <v>0.1919</v>
      </c>
      <c r="AY44" s="18">
        <v>0.2935</v>
      </c>
      <c r="AZ44" s="18">
        <v>0.216</v>
      </c>
      <c r="BB44" s="19">
        <v>0.0858588553338313</v>
      </c>
      <c r="BC44" s="19">
        <v>-0.07216777771877</v>
      </c>
      <c r="BD44" s="19">
        <v>-0.126607480598441</v>
      </c>
      <c r="BE44" s="19">
        <v>0.0184373423128299</v>
      </c>
      <c r="BF44" s="19">
        <v>-0.0132103830690334</v>
      </c>
      <c r="BG44" s="11">
        <f t="shared" si="1"/>
        <v>-0.0329436521457421</v>
      </c>
      <c r="BH44" s="19">
        <v>0.0219315723896853</v>
      </c>
      <c r="BI44" s="19">
        <v>0.073159731485767</v>
      </c>
      <c r="BJ44" s="20" t="s">
        <v>11</v>
      </c>
      <c r="BK44" s="20" t="s">
        <v>11</v>
      </c>
      <c r="BL44" s="20" t="s">
        <v>11</v>
      </c>
      <c r="BM44" s="20" t="s">
        <v>11</v>
      </c>
    </row>
    <row r="45" ht="15.75" spans="1:65">
      <c r="A45" s="5" t="s">
        <v>80</v>
      </c>
      <c r="B45" s="24" t="s">
        <v>81</v>
      </c>
      <c r="C45" s="1">
        <v>1000</v>
      </c>
      <c r="D45" s="14">
        <v>38352</v>
      </c>
      <c r="E45" s="15">
        <v>39997</v>
      </c>
      <c r="F45" s="10">
        <v>-0.1255</v>
      </c>
      <c r="G45" s="10">
        <v>0.5058</v>
      </c>
      <c r="H45" s="10">
        <v>1.6959</v>
      </c>
      <c r="I45" s="10">
        <v>-0.5508</v>
      </c>
      <c r="J45" s="10">
        <v>0.4631</v>
      </c>
      <c r="K45" s="10">
        <v>-0.1808</v>
      </c>
      <c r="L45" s="10">
        <v>-0.2211</v>
      </c>
      <c r="M45" s="10">
        <v>0.0141</v>
      </c>
      <c r="N45" s="10">
        <v>-0.0049</v>
      </c>
      <c r="O45" s="10">
        <v>0.7467</v>
      </c>
      <c r="P45" s="10">
        <v>0.0605</v>
      </c>
      <c r="Q45" s="10">
        <v>-0.1956</v>
      </c>
      <c r="R45" s="10">
        <v>-0.0167</v>
      </c>
      <c r="S45" s="10">
        <v>-0.1266</v>
      </c>
      <c r="T45" s="10">
        <v>0.0277</v>
      </c>
      <c r="U45" s="10">
        <v>-0.0324</v>
      </c>
      <c r="V45" s="10">
        <v>0.3442</v>
      </c>
      <c r="W45" s="10">
        <v>-0.1492</v>
      </c>
      <c r="X45" s="10">
        <v>0.0187</v>
      </c>
      <c r="Y45" s="10">
        <v>0.153</v>
      </c>
      <c r="Z45" s="10">
        <v>-0.0288</v>
      </c>
      <c r="AA45" s="10"/>
      <c r="AB45" s="10">
        <f t="shared" si="0"/>
        <v>-0.000569999999999996</v>
      </c>
      <c r="AC45" s="10"/>
      <c r="AD45" s="10">
        <f>SUM(F45:Z45)/21</f>
        <v>0.114157142857143</v>
      </c>
      <c r="AE45" s="8"/>
      <c r="AF45" s="8">
        <v>0.2083</v>
      </c>
      <c r="AG45" s="8">
        <v>0.2282</v>
      </c>
      <c r="AH45" s="8">
        <v>0.4182</v>
      </c>
      <c r="AI45" s="8">
        <v>0.4437</v>
      </c>
      <c r="AJ45" s="8">
        <v>0.3008</v>
      </c>
      <c r="AK45" s="8">
        <v>0.218</v>
      </c>
      <c r="AL45" s="8">
        <v>0.2035</v>
      </c>
      <c r="AM45" s="8">
        <v>0.1647</v>
      </c>
      <c r="AN45" s="8">
        <v>0.1937</v>
      </c>
      <c r="AO45" s="8">
        <v>0.1971</v>
      </c>
      <c r="AP45" s="8">
        <v>0.4415</v>
      </c>
      <c r="AQ45" s="8">
        <v>0.2135</v>
      </c>
      <c r="AR45" s="8">
        <v>0.087</v>
      </c>
      <c r="AS45" s="8">
        <v>0.1606</v>
      </c>
      <c r="AT45" s="8">
        <v>0.1396</v>
      </c>
      <c r="AU45" s="8">
        <v>0.1713</v>
      </c>
      <c r="AV45" s="8">
        <v>0.2486</v>
      </c>
      <c r="AW45" s="8">
        <v>0.2344</v>
      </c>
      <c r="AX45" s="8">
        <v>0.1232</v>
      </c>
      <c r="AY45" s="8">
        <v>0.1928</v>
      </c>
      <c r="AZ45" s="8">
        <v>0.1204</v>
      </c>
      <c r="BA45" s="8"/>
      <c r="BB45" s="11">
        <v>-0.0287543419679435</v>
      </c>
      <c r="BC45" s="11">
        <v>0.0448803168884471</v>
      </c>
      <c r="BD45" s="11">
        <v>0.05462081938046</v>
      </c>
      <c r="BE45" s="11">
        <v>0.0378779130525921</v>
      </c>
      <c r="BF45" s="11">
        <v>0.0120753499149739</v>
      </c>
      <c r="BG45" s="11">
        <f t="shared" si="1"/>
        <v>-0.0109032638207567</v>
      </c>
      <c r="BH45" s="11">
        <v>-0.0046153032663816</v>
      </c>
      <c r="BI45" s="11">
        <v>0.0393620571085704</v>
      </c>
      <c r="BJ45" s="11">
        <v>0.0178950935158633</v>
      </c>
      <c r="BK45" s="11">
        <v>0.0266519167185939</v>
      </c>
      <c r="BL45" s="11">
        <v>0.0341864144052526</v>
      </c>
      <c r="BM45" s="11">
        <v>0.0444816776050385</v>
      </c>
    </row>
    <row r="46" ht="15.75" spans="1:65">
      <c r="A46" s="1" t="s">
        <v>82</v>
      </c>
      <c r="B46" s="25" t="s">
        <v>83</v>
      </c>
      <c r="C46" s="1">
        <v>1000</v>
      </c>
      <c r="D46" s="2">
        <v>38352</v>
      </c>
      <c r="E46" s="2">
        <v>41929</v>
      </c>
      <c r="F46" s="10">
        <v>-0.1487</v>
      </c>
      <c r="G46" s="10">
        <v>0.7622</v>
      </c>
      <c r="H46" s="10">
        <v>2.0257</v>
      </c>
      <c r="I46" s="10">
        <v>-0.5926</v>
      </c>
      <c r="J46" s="10">
        <v>1.3985</v>
      </c>
      <c r="K46" s="10">
        <v>0.174</v>
      </c>
      <c r="L46" s="10">
        <v>-0.3296</v>
      </c>
      <c r="M46" s="10">
        <v>-0.0143</v>
      </c>
      <c r="N46" s="10">
        <v>0.3159</v>
      </c>
      <c r="O46" s="10">
        <v>0.3446</v>
      </c>
      <c r="P46" s="10">
        <v>0.761</v>
      </c>
      <c r="Q46" s="17">
        <v>-0.2001</v>
      </c>
      <c r="R46" s="17">
        <v>-0.1735</v>
      </c>
      <c r="S46" s="17">
        <v>-0.3687</v>
      </c>
      <c r="T46" s="17">
        <v>0.2567</v>
      </c>
      <c r="U46" s="17">
        <v>0.1939</v>
      </c>
      <c r="V46" s="17">
        <v>0.2052</v>
      </c>
      <c r="W46" s="17">
        <v>-0.2158</v>
      </c>
      <c r="X46" s="17">
        <v>-0.0628</v>
      </c>
      <c r="Y46" s="17">
        <v>0.012</v>
      </c>
      <c r="Z46" s="17">
        <v>0.2749</v>
      </c>
      <c r="AA46" s="17"/>
      <c r="AB46" s="10">
        <f t="shared" si="0"/>
        <v>-0.00782</v>
      </c>
      <c r="AC46" s="17"/>
      <c r="AD46" s="10">
        <f>SUM(F46:Z46)/21</f>
        <v>0.219928571428571</v>
      </c>
      <c r="AE46" s="8"/>
      <c r="AF46" s="8">
        <v>0.2872</v>
      </c>
      <c r="AG46" s="8">
        <v>0.2423</v>
      </c>
      <c r="AH46" s="8">
        <v>0.4007</v>
      </c>
      <c r="AI46" s="8">
        <v>0.5456</v>
      </c>
      <c r="AJ46" s="8">
        <v>0.3556</v>
      </c>
      <c r="AK46" s="8">
        <v>0.2875</v>
      </c>
      <c r="AL46" s="8">
        <v>0.2498</v>
      </c>
      <c r="AM46" s="8">
        <v>0.2551</v>
      </c>
      <c r="AN46" s="8">
        <v>0.2344</v>
      </c>
      <c r="AO46" s="8">
        <v>0.2106</v>
      </c>
      <c r="AP46" s="8">
        <v>0.4621</v>
      </c>
      <c r="AQ46" s="8">
        <v>0.3177</v>
      </c>
      <c r="AR46" s="8">
        <v>0.162</v>
      </c>
      <c r="AS46" s="8">
        <v>0.2474</v>
      </c>
      <c r="AT46" s="8">
        <v>0.2469</v>
      </c>
      <c r="AU46" s="8">
        <v>0.2717</v>
      </c>
      <c r="AV46" s="8">
        <v>0.1873</v>
      </c>
      <c r="AW46" s="8">
        <v>0.2501</v>
      </c>
      <c r="AX46" s="8">
        <v>0.147</v>
      </c>
      <c r="AY46" s="8">
        <v>0.3291</v>
      </c>
      <c r="AZ46" s="8">
        <v>0.2192</v>
      </c>
      <c r="BA46" s="8"/>
      <c r="BB46" s="11">
        <v>0.274863538400596</v>
      </c>
      <c r="BC46" s="11">
        <v>0.065346073028697</v>
      </c>
      <c r="BD46" s="11">
        <v>0.0270475430530286</v>
      </c>
      <c r="BE46" s="11">
        <v>0.080061039476224</v>
      </c>
      <c r="BF46" s="11">
        <v>-0.0123084337691268</v>
      </c>
      <c r="BG46" s="11">
        <f t="shared" si="1"/>
        <v>-0.0329191566727679</v>
      </c>
      <c r="BH46" s="11">
        <v>0.0212398166491423</v>
      </c>
      <c r="BI46" s="11">
        <v>0.0636148596115709</v>
      </c>
      <c r="BJ46" s="11">
        <v>0.0261665713869443</v>
      </c>
      <c r="BK46" s="11">
        <v>0.0872938947916426</v>
      </c>
      <c r="BL46" s="11">
        <v>0.0896941925258261</v>
      </c>
      <c r="BM46" s="11">
        <v>0.101891726706751</v>
      </c>
    </row>
    <row r="47" ht="15.75" spans="1:65">
      <c r="A47" s="6" t="s">
        <v>84</v>
      </c>
      <c r="B47" s="6">
        <v>930641</v>
      </c>
      <c r="C47" s="1">
        <v>1000</v>
      </c>
      <c r="D47" s="15">
        <v>38352</v>
      </c>
      <c r="E47" s="2">
        <v>42143</v>
      </c>
      <c r="F47" s="18">
        <v>-0.0552</v>
      </c>
      <c r="G47" s="18">
        <v>1.0856</v>
      </c>
      <c r="H47" s="18">
        <v>1.6216</v>
      </c>
      <c r="I47" s="18">
        <v>-0.4393</v>
      </c>
      <c r="J47" s="18">
        <v>0.9205</v>
      </c>
      <c r="K47" s="18">
        <v>0.4173</v>
      </c>
      <c r="L47" s="18">
        <v>-0.2444</v>
      </c>
      <c r="M47" s="18">
        <v>0.1205</v>
      </c>
      <c r="N47" s="18">
        <v>0.2993</v>
      </c>
      <c r="O47" s="18">
        <v>0.0607</v>
      </c>
      <c r="P47" s="18">
        <v>0.4459</v>
      </c>
      <c r="Q47" s="18">
        <v>-0.1528</v>
      </c>
      <c r="R47" s="18">
        <v>-0.015</v>
      </c>
      <c r="S47" s="18">
        <v>-0.2871</v>
      </c>
      <c r="T47" s="18">
        <v>0.0402</v>
      </c>
      <c r="U47" s="18">
        <v>0.1345</v>
      </c>
      <c r="V47" s="18">
        <v>0.3357</v>
      </c>
      <c r="W47" s="18">
        <v>-0.1165</v>
      </c>
      <c r="X47" s="18">
        <v>0.0027</v>
      </c>
      <c r="Y47" s="18">
        <v>-0.0813</v>
      </c>
      <c r="Z47" s="18">
        <v>-0.0628</v>
      </c>
      <c r="AA47" s="9"/>
      <c r="AB47" s="10">
        <f t="shared" si="0"/>
        <v>-0.02024</v>
      </c>
      <c r="AC47" s="9"/>
      <c r="AD47" s="3">
        <f>SUM(F47:Z47)/21</f>
        <v>0.191909523809524</v>
      </c>
      <c r="AF47" s="18">
        <v>0.2084</v>
      </c>
      <c r="AG47" s="18">
        <v>0.2648</v>
      </c>
      <c r="AH47" s="18">
        <v>0.3931</v>
      </c>
      <c r="AI47" s="18">
        <v>0.4819</v>
      </c>
      <c r="AJ47" s="18">
        <v>0.3049</v>
      </c>
      <c r="AK47" s="18">
        <v>0.3037</v>
      </c>
      <c r="AL47" s="18">
        <v>0.2265</v>
      </c>
      <c r="AM47" s="18">
        <v>0.2354</v>
      </c>
      <c r="AN47" s="18">
        <v>0.2369</v>
      </c>
      <c r="AO47" s="18">
        <v>0.1759</v>
      </c>
      <c r="AP47" s="18">
        <v>0.4463</v>
      </c>
      <c r="AQ47" s="18">
        <v>0.2634</v>
      </c>
      <c r="AR47" s="18">
        <v>0.1219</v>
      </c>
      <c r="AS47" s="18">
        <v>0.2333</v>
      </c>
      <c r="AT47" s="18">
        <v>0.2296</v>
      </c>
      <c r="AU47" s="18">
        <v>0.2467</v>
      </c>
      <c r="AV47" s="18">
        <v>0.2361</v>
      </c>
      <c r="AW47" s="18">
        <v>0.3121</v>
      </c>
      <c r="AX47" s="18">
        <v>0.1921</v>
      </c>
      <c r="AY47" s="18">
        <v>0.2626</v>
      </c>
      <c r="AZ47" s="18">
        <v>0.1427</v>
      </c>
      <c r="BB47" s="19">
        <v>-0.0627543843750369</v>
      </c>
      <c r="BC47" s="19">
        <v>-0.0477860690446289</v>
      </c>
      <c r="BD47" s="19">
        <v>0.00372926977885268</v>
      </c>
      <c r="BE47" s="19">
        <v>0.0266735034415828</v>
      </c>
      <c r="BF47" s="19">
        <v>-0.0186242409381979</v>
      </c>
      <c r="BG47" s="11">
        <f t="shared" si="1"/>
        <v>-0.0329467510052036</v>
      </c>
      <c r="BH47" s="19">
        <v>0.00306428342588227</v>
      </c>
      <c r="BI47" s="19">
        <v>0.027639794386896</v>
      </c>
      <c r="BJ47" s="19">
        <v>0.0126086043754106</v>
      </c>
      <c r="BK47" s="19">
        <v>0.072463710160557</v>
      </c>
      <c r="BL47" s="19">
        <v>0.0864013790871965</v>
      </c>
      <c r="BM47" s="19">
        <v>0.113244694548857</v>
      </c>
    </row>
    <row r="48" ht="15.75" spans="1:65">
      <c r="A48" s="6" t="s">
        <v>85</v>
      </c>
      <c r="B48" s="6">
        <v>930633</v>
      </c>
      <c r="C48" s="1">
        <v>1000</v>
      </c>
      <c r="D48" s="7">
        <v>39813</v>
      </c>
      <c r="E48" s="2">
        <v>42132</v>
      </c>
      <c r="J48" s="8">
        <v>1.1884</v>
      </c>
      <c r="K48" s="8">
        <v>0.0385</v>
      </c>
      <c r="L48" s="8">
        <v>-0.1949</v>
      </c>
      <c r="M48" s="8">
        <v>0.0489</v>
      </c>
      <c r="N48" s="8">
        <v>0.1859</v>
      </c>
      <c r="O48" s="8">
        <v>0.4032</v>
      </c>
      <c r="P48" s="8">
        <v>0.7</v>
      </c>
      <c r="Q48" s="8">
        <v>-0.245</v>
      </c>
      <c r="R48" s="8">
        <v>-0.025</v>
      </c>
      <c r="S48" s="8">
        <v>-0.2555</v>
      </c>
      <c r="T48" s="8">
        <v>0.2958</v>
      </c>
      <c r="U48" s="8">
        <v>0.1104</v>
      </c>
      <c r="V48" s="8">
        <v>-0.0242</v>
      </c>
      <c r="W48" s="8">
        <v>0.1209</v>
      </c>
      <c r="X48" s="8">
        <v>-0.3795</v>
      </c>
      <c r="Y48" s="8">
        <v>0.0024</v>
      </c>
      <c r="Z48" s="8">
        <v>0.1399</v>
      </c>
      <c r="AA48" s="9"/>
      <c r="AB48" s="10">
        <f t="shared" si="0"/>
        <v>-0.02598</v>
      </c>
      <c r="AC48" s="9"/>
      <c r="AD48" s="3">
        <f>SUM(J48:Z48)/17</f>
        <v>0.124129411764706</v>
      </c>
      <c r="AJ48" s="8">
        <v>0.3689</v>
      </c>
      <c r="AK48" s="8">
        <v>0.3007</v>
      </c>
      <c r="AL48" s="8">
        <v>0.2431</v>
      </c>
      <c r="AM48" s="8">
        <v>0.2152</v>
      </c>
      <c r="AN48" s="8">
        <v>0.2427</v>
      </c>
      <c r="AO48" s="8">
        <v>0.1902</v>
      </c>
      <c r="AP48" s="8">
        <v>0.4417</v>
      </c>
      <c r="AQ48" s="8">
        <v>0.2526</v>
      </c>
      <c r="AR48" s="8">
        <v>0.1489</v>
      </c>
      <c r="AS48" s="8">
        <v>0.263</v>
      </c>
      <c r="AT48" s="8">
        <v>0.2238</v>
      </c>
      <c r="AU48" s="8">
        <v>0.3051</v>
      </c>
      <c r="AV48" s="8">
        <v>0.2519</v>
      </c>
      <c r="AW48" s="8">
        <v>0.3522</v>
      </c>
      <c r="AX48" s="8">
        <v>0.2146</v>
      </c>
      <c r="AY48" s="8">
        <v>0.2814</v>
      </c>
      <c r="AZ48" s="8">
        <v>0.205</v>
      </c>
      <c r="BB48" s="11">
        <v>0.139872072622649</v>
      </c>
      <c r="BC48" s="11">
        <v>-0.108300324047242</v>
      </c>
      <c r="BD48" s="11">
        <v>-0.0495776781998742</v>
      </c>
      <c r="BE48" s="11">
        <v>0.0157828606789527</v>
      </c>
      <c r="BF48" s="11">
        <v>-0.0231411954282826</v>
      </c>
      <c r="BG48" s="11">
        <f t="shared" si="1"/>
        <v>-0.0479860529683558</v>
      </c>
      <c r="BH48" s="11">
        <v>0.00353440876959743</v>
      </c>
      <c r="BI48" s="11">
        <v>0.0430644093952397</v>
      </c>
      <c r="BJ48" s="11">
        <v>0.0255912141192827</v>
      </c>
      <c r="BK48" s="11">
        <v>0.073136650629801</v>
      </c>
      <c r="BL48" s="12" t="s">
        <v>11</v>
      </c>
      <c r="BM48" s="12" t="s">
        <v>11</v>
      </c>
    </row>
    <row r="49" ht="15.75" spans="1:65">
      <c r="A49" s="6" t="s">
        <v>86</v>
      </c>
      <c r="B49" s="6">
        <v>399812</v>
      </c>
      <c r="C49" s="1">
        <v>1000</v>
      </c>
      <c r="D49" s="7">
        <v>38352</v>
      </c>
      <c r="E49" s="2">
        <v>41796</v>
      </c>
      <c r="F49" s="8">
        <v>-0.1262</v>
      </c>
      <c r="G49" s="8">
        <v>0.8613</v>
      </c>
      <c r="H49" s="8">
        <v>2.0764</v>
      </c>
      <c r="I49" s="8">
        <v>-0.5533</v>
      </c>
      <c r="J49" s="8">
        <v>1.0618</v>
      </c>
      <c r="K49" s="8">
        <v>0.0882</v>
      </c>
      <c r="L49" s="8">
        <v>-0.2967</v>
      </c>
      <c r="M49" s="8">
        <v>0.0336</v>
      </c>
      <c r="N49" s="8">
        <v>0.5109</v>
      </c>
      <c r="O49" s="8">
        <v>0.2037</v>
      </c>
      <c r="P49" s="8">
        <v>0.4961</v>
      </c>
      <c r="Q49" s="8">
        <v>-0.2062</v>
      </c>
      <c r="R49" s="8">
        <v>0.0847</v>
      </c>
      <c r="S49" s="8">
        <v>-0.2833</v>
      </c>
      <c r="T49" s="8">
        <v>0.2319</v>
      </c>
      <c r="U49" s="8">
        <v>0.2427</v>
      </c>
      <c r="V49" s="8">
        <v>-0.1249</v>
      </c>
      <c r="W49" s="8">
        <v>-0.1975</v>
      </c>
      <c r="X49" s="8">
        <v>-0.1062</v>
      </c>
      <c r="Y49" s="8">
        <v>0.0218</v>
      </c>
      <c r="Z49" s="8">
        <v>0.0534</v>
      </c>
      <c r="AA49" s="9"/>
      <c r="AB49" s="10">
        <f t="shared" si="0"/>
        <v>-0.02836</v>
      </c>
      <c r="AC49" s="9"/>
      <c r="AD49" s="3">
        <f>SUM(F49:Z49)/21</f>
        <v>0.193914285714286</v>
      </c>
      <c r="AF49" s="8">
        <v>0.2382</v>
      </c>
      <c r="AG49" s="8">
        <v>0.2332</v>
      </c>
      <c r="AH49" s="8">
        <v>0.3898</v>
      </c>
      <c r="AI49" s="8">
        <v>0.4992</v>
      </c>
      <c r="AJ49" s="8">
        <v>0.3141</v>
      </c>
      <c r="AK49" s="8">
        <v>0.2732</v>
      </c>
      <c r="AL49" s="8">
        <v>0.2201</v>
      </c>
      <c r="AM49" s="8">
        <v>0.22</v>
      </c>
      <c r="AN49" s="8">
        <v>0.233</v>
      </c>
      <c r="AO49" s="8">
        <v>0.1742</v>
      </c>
      <c r="AP49" s="8">
        <v>0.4199</v>
      </c>
      <c r="AQ49" s="8">
        <v>0.2675</v>
      </c>
      <c r="AR49" s="8">
        <v>0.1073</v>
      </c>
      <c r="AS49" s="8">
        <v>0.2394</v>
      </c>
      <c r="AT49" s="8">
        <v>0.2121</v>
      </c>
      <c r="AU49" s="8">
        <v>0.2397</v>
      </c>
      <c r="AV49" s="8">
        <v>0.1976</v>
      </c>
      <c r="AW49" s="8">
        <v>0.2335</v>
      </c>
      <c r="AX49" s="8">
        <v>0.137</v>
      </c>
      <c r="AY49" s="8">
        <v>0.2587</v>
      </c>
      <c r="AZ49" s="8">
        <v>0.1483</v>
      </c>
      <c r="BB49" s="11">
        <v>0.0534257538422118</v>
      </c>
      <c r="BC49" s="11">
        <v>-0.0128224204283688</v>
      </c>
      <c r="BD49" s="11">
        <v>-0.0754308542626382</v>
      </c>
      <c r="BE49" s="11">
        <v>0.00483527336430312</v>
      </c>
      <c r="BF49" s="11">
        <v>-0.0239387219331878</v>
      </c>
      <c r="BG49" s="11">
        <f t="shared" si="1"/>
        <v>-0.0439062372361164</v>
      </c>
      <c r="BH49" s="11">
        <v>-0.00418315458607554</v>
      </c>
      <c r="BI49" s="11">
        <v>0.0433752588718443</v>
      </c>
      <c r="BJ49" s="11">
        <v>0.0156578407261092</v>
      </c>
      <c r="BK49" s="11">
        <v>0.0631578345007293</v>
      </c>
      <c r="BL49" s="11">
        <v>0.0741531865737814</v>
      </c>
      <c r="BM49" s="11">
        <v>0.0918585037517194</v>
      </c>
    </row>
    <row r="50" ht="15.75" spans="1:65">
      <c r="A50" s="6" t="s">
        <v>87</v>
      </c>
      <c r="B50" s="6">
        <v>399971</v>
      </c>
      <c r="C50" s="1">
        <v>1000</v>
      </c>
      <c r="D50" s="7">
        <v>40543</v>
      </c>
      <c r="E50" s="2">
        <v>41744</v>
      </c>
      <c r="M50" s="18">
        <v>-0.0257</v>
      </c>
      <c r="N50" s="18">
        <v>1.0193</v>
      </c>
      <c r="O50" s="18">
        <v>0.1899</v>
      </c>
      <c r="P50" s="18">
        <v>0.6935</v>
      </c>
      <c r="Q50" s="18">
        <v>-0.3232</v>
      </c>
      <c r="R50" s="18">
        <v>-0.1772</v>
      </c>
      <c r="S50" s="18">
        <v>-0.3692</v>
      </c>
      <c r="T50" s="18">
        <v>0.267</v>
      </c>
      <c r="U50" s="18">
        <v>-0.0122</v>
      </c>
      <c r="V50" s="18">
        <v>-0.021</v>
      </c>
      <c r="W50" s="18">
        <v>-0.3114</v>
      </c>
      <c r="X50" s="18">
        <v>0.1957</v>
      </c>
      <c r="Y50" s="18">
        <v>0.0535</v>
      </c>
      <c r="Z50" s="18">
        <v>0.2726</v>
      </c>
      <c r="AA50" s="9"/>
      <c r="AB50" s="10">
        <f t="shared" si="0"/>
        <v>-0.04254</v>
      </c>
      <c r="AC50" s="9"/>
      <c r="AD50" s="3">
        <f>SUM(M50:Z50)/14</f>
        <v>0.103685714285714</v>
      </c>
      <c r="AL50" s="18">
        <v>0.2782</v>
      </c>
      <c r="AM50" s="18">
        <v>0.2582</v>
      </c>
      <c r="AN50" s="18">
        <v>0.3467</v>
      </c>
      <c r="AO50" s="18">
        <v>0.2533</v>
      </c>
      <c r="AP50" s="18">
        <v>0.4663</v>
      </c>
      <c r="AQ50" s="18">
        <v>0.3075</v>
      </c>
      <c r="AR50" s="18">
        <v>0.1506</v>
      </c>
      <c r="AS50" s="18">
        <v>0.2709</v>
      </c>
      <c r="AT50" s="18">
        <v>0.2842</v>
      </c>
      <c r="AU50" s="18">
        <v>0.2977</v>
      </c>
      <c r="AV50" s="18">
        <v>0.2338</v>
      </c>
      <c r="AW50" s="18">
        <v>0.2922</v>
      </c>
      <c r="AX50" s="18">
        <v>0.3609</v>
      </c>
      <c r="AY50" s="18">
        <v>0.3736</v>
      </c>
      <c r="AZ50" s="18">
        <v>0.2645</v>
      </c>
      <c r="BB50" s="19">
        <v>0.272625109138219</v>
      </c>
      <c r="BC50" s="19">
        <v>0.170353803055397</v>
      </c>
      <c r="BD50" s="19">
        <v>0.0156277032405649</v>
      </c>
      <c r="BE50" s="19">
        <v>0.0440738743229381</v>
      </c>
      <c r="BF50" s="19">
        <v>-0.0385617942170416</v>
      </c>
      <c r="BG50" s="11">
        <f t="shared" si="1"/>
        <v>-0.0717279512587566</v>
      </c>
      <c r="BH50" s="19">
        <v>-0.0195744379693918</v>
      </c>
      <c r="BI50" s="19">
        <v>0.0520149976290696</v>
      </c>
      <c r="BJ50" s="20" t="s">
        <v>11</v>
      </c>
      <c r="BK50" s="20" t="s">
        <v>11</v>
      </c>
      <c r="BL50" s="20" t="s">
        <v>11</v>
      </c>
      <c r="BM50" s="27" t="s">
        <v>11</v>
      </c>
    </row>
    <row r="51" ht="15.75" spans="1:65">
      <c r="A51" s="6" t="s">
        <v>88</v>
      </c>
      <c r="B51" s="6">
        <v>930601</v>
      </c>
      <c r="C51" s="1">
        <v>1000</v>
      </c>
      <c r="D51" s="2">
        <v>42073</v>
      </c>
      <c r="E51" s="2">
        <v>38352</v>
      </c>
      <c r="F51" s="8">
        <v>-0.1467</v>
      </c>
      <c r="G51" s="8">
        <v>0.8588</v>
      </c>
      <c r="H51" s="8">
        <v>0.9941</v>
      </c>
      <c r="I51" s="8">
        <v>-0.5474</v>
      </c>
      <c r="J51" s="8">
        <v>1.2751</v>
      </c>
      <c r="K51" s="8">
        <v>0.2412</v>
      </c>
      <c r="L51" s="8">
        <v>-0.373</v>
      </c>
      <c r="M51" s="8">
        <v>-0.0872</v>
      </c>
      <c r="N51" s="8">
        <v>0.9471</v>
      </c>
      <c r="O51" s="8">
        <v>0.491</v>
      </c>
      <c r="P51" s="8">
        <v>0.9748</v>
      </c>
      <c r="Q51" s="8">
        <v>-0.3381</v>
      </c>
      <c r="R51" s="8">
        <v>-0.1679</v>
      </c>
      <c r="S51" s="8">
        <v>-0.2875</v>
      </c>
      <c r="T51" s="8">
        <v>0.4908</v>
      </c>
      <c r="U51" s="8">
        <v>0.0493</v>
      </c>
      <c r="V51" s="8">
        <v>-0.0122</v>
      </c>
      <c r="W51" s="8">
        <v>-0.2553</v>
      </c>
      <c r="X51" s="8">
        <v>-0.0837</v>
      </c>
      <c r="Y51" s="8">
        <v>0.0243</v>
      </c>
      <c r="Z51" s="8">
        <v>0.1185</v>
      </c>
      <c r="AA51" s="9"/>
      <c r="AB51" s="10">
        <f t="shared" si="0"/>
        <v>-0.04618</v>
      </c>
      <c r="AC51" s="9"/>
      <c r="AD51" s="3">
        <f>SUM(F51:Z51)/21</f>
        <v>0.198380952380952</v>
      </c>
      <c r="AF51" s="8">
        <v>0.3011</v>
      </c>
      <c r="AG51" s="8">
        <v>0.2834</v>
      </c>
      <c r="AH51" s="8">
        <v>0.3862</v>
      </c>
      <c r="AI51" s="8">
        <v>0.5088</v>
      </c>
      <c r="AJ51" s="8">
        <v>0.3506</v>
      </c>
      <c r="AK51" s="8">
        <v>0.3332</v>
      </c>
      <c r="AL51" s="8">
        <v>0.2603</v>
      </c>
      <c r="AM51" s="8">
        <v>0.2616</v>
      </c>
      <c r="AN51" s="8">
        <v>0.3329</v>
      </c>
      <c r="AO51" s="8">
        <v>0.2732</v>
      </c>
      <c r="AP51" s="8">
        <v>0.5548</v>
      </c>
      <c r="AQ51" s="8">
        <v>0.3458</v>
      </c>
      <c r="AR51" s="8">
        <v>0.1967</v>
      </c>
      <c r="AS51" s="8">
        <v>0.338</v>
      </c>
      <c r="AT51" s="8">
        <v>0.3267</v>
      </c>
      <c r="AU51" s="8">
        <v>0.3376</v>
      </c>
      <c r="AV51" s="8">
        <v>0.23</v>
      </c>
      <c r="AW51" s="8">
        <v>0.3031</v>
      </c>
      <c r="AX51" s="8">
        <v>0.3192</v>
      </c>
      <c r="AY51" s="8">
        <v>0.422</v>
      </c>
      <c r="AZ51" s="8">
        <v>0.3219</v>
      </c>
      <c r="BB51" s="11">
        <v>0.118538416380553</v>
      </c>
      <c r="BC51" s="11">
        <v>0.0163425331002549</v>
      </c>
      <c r="BD51" s="11">
        <v>-0.0503709730590877</v>
      </c>
      <c r="BE51" s="11">
        <v>0.0273653650762569</v>
      </c>
      <c r="BF51" s="11">
        <v>-0.0364162950522618</v>
      </c>
      <c r="BG51" s="11">
        <f t="shared" si="1"/>
        <v>-0.0719321236664511</v>
      </c>
      <c r="BH51" s="11">
        <v>-0.00598963660691765</v>
      </c>
      <c r="BI51" s="11">
        <v>0.079936142810328</v>
      </c>
      <c r="BJ51" s="11">
        <v>0.0298812954827778</v>
      </c>
      <c r="BK51" s="11">
        <v>0.0909462297760022</v>
      </c>
      <c r="BL51" s="11">
        <v>0.0751801361655231</v>
      </c>
      <c r="BM51" s="11">
        <v>0.091498698746413</v>
      </c>
    </row>
    <row r="52" ht="15.75" spans="1:65">
      <c r="A52" s="5" t="s">
        <v>89</v>
      </c>
      <c r="B52" s="5">
        <v>399965</v>
      </c>
      <c r="C52" s="1">
        <v>1000</v>
      </c>
      <c r="D52" s="14">
        <v>38352</v>
      </c>
      <c r="E52" s="15">
        <v>41264</v>
      </c>
      <c r="F52" s="10">
        <v>-0.0716</v>
      </c>
      <c r="G52" s="10">
        <v>1.7261</v>
      </c>
      <c r="H52" s="10">
        <v>1.6147</v>
      </c>
      <c r="I52" s="10">
        <v>-0.6535</v>
      </c>
      <c r="J52" s="10">
        <v>1.135</v>
      </c>
      <c r="K52" s="10">
        <v>-0.2329</v>
      </c>
      <c r="L52" s="10">
        <v>-0.2198</v>
      </c>
      <c r="M52" s="10">
        <v>0.2128</v>
      </c>
      <c r="N52" s="10"/>
      <c r="O52" s="10">
        <v>0.409</v>
      </c>
      <c r="P52" s="10">
        <v>-0.1765</v>
      </c>
      <c r="Q52" s="10">
        <v>0.0947</v>
      </c>
      <c r="R52" s="10">
        <v>-0.2592</v>
      </c>
      <c r="S52" s="10">
        <v>0.2656</v>
      </c>
      <c r="T52" s="10">
        <v>-0.1543</v>
      </c>
      <c r="U52" s="10">
        <v>-0.1506</v>
      </c>
      <c r="V52" s="10">
        <v>-0.1465</v>
      </c>
      <c r="W52" s="10">
        <v>-0.3323</v>
      </c>
      <c r="X52" s="10">
        <v>-0.0341</v>
      </c>
      <c r="Y52" s="10">
        <v>-0.0526</v>
      </c>
      <c r="Z52" s="10">
        <v>0.0805</v>
      </c>
      <c r="AA52" s="10"/>
      <c r="AB52" s="10">
        <f t="shared" si="0"/>
        <v>-0.06888</v>
      </c>
      <c r="AC52" s="10"/>
      <c r="AD52" s="10">
        <f>SUM(F52:Z52)/21</f>
        <v>0.145452380952381</v>
      </c>
      <c r="AE52" s="8"/>
      <c r="AF52" s="8">
        <v>0.2582</v>
      </c>
      <c r="AG52" s="8">
        <v>0.3021</v>
      </c>
      <c r="AH52" s="8">
        <v>0.4675</v>
      </c>
      <c r="AI52" s="8">
        <v>0.5992</v>
      </c>
      <c r="AJ52" s="8">
        <v>0.4232</v>
      </c>
      <c r="AK52" s="8">
        <v>0.3303</v>
      </c>
      <c r="AL52" s="8">
        <v>0.2581</v>
      </c>
      <c r="AM52" s="8">
        <v>0.2647</v>
      </c>
      <c r="AN52" s="25" t="s">
        <v>11</v>
      </c>
      <c r="AO52" s="8">
        <v>0.2022</v>
      </c>
      <c r="AP52" s="8">
        <v>0.4381</v>
      </c>
      <c r="AQ52" s="8">
        <v>0.2449</v>
      </c>
      <c r="AR52" s="8">
        <v>0.1685</v>
      </c>
      <c r="AS52" s="8">
        <v>0.2966</v>
      </c>
      <c r="AT52" s="8">
        <v>0.2391</v>
      </c>
      <c r="AU52" s="8">
        <v>0.2606</v>
      </c>
      <c r="AV52" s="8">
        <v>0.2515</v>
      </c>
      <c r="AW52" s="8">
        <v>0.3558</v>
      </c>
      <c r="AX52" s="8">
        <v>0.2295</v>
      </c>
      <c r="AY52" s="8">
        <v>0.3627</v>
      </c>
      <c r="AZ52" s="8">
        <v>0.2218</v>
      </c>
      <c r="BA52" s="8"/>
      <c r="BB52" s="11">
        <v>-0.039867460063433</v>
      </c>
      <c r="BC52" s="11">
        <v>-0.147663537229496</v>
      </c>
      <c r="BD52" s="11">
        <v>-0.148022871132072</v>
      </c>
      <c r="BE52" s="11">
        <v>-0.0994174606554133</v>
      </c>
      <c r="BF52" s="11">
        <v>-0.0994358926248909</v>
      </c>
      <c r="BG52" s="11">
        <f t="shared" si="1"/>
        <v>-0.08168287699348</v>
      </c>
      <c r="BH52" s="11">
        <v>-0.0696342501901761</v>
      </c>
      <c r="BI52" s="11">
        <v>-0.0220209473090458</v>
      </c>
      <c r="BJ52" s="11">
        <v>-0.0227182790749099</v>
      </c>
      <c r="BK52" s="11">
        <v>0.00878228240603307</v>
      </c>
      <c r="BL52" s="11">
        <v>0.00263352883025303</v>
      </c>
      <c r="BM52" s="11">
        <v>0.0477016102370527</v>
      </c>
    </row>
    <row r="53" spans="1:65">
      <c r="F53" s="21">
        <v>2005</v>
      </c>
      <c r="G53" s="21">
        <v>2006</v>
      </c>
      <c r="H53" s="21">
        <v>2007</v>
      </c>
      <c r="I53" s="21">
        <v>2008</v>
      </c>
      <c r="J53" s="21">
        <v>2009</v>
      </c>
      <c r="K53" s="21">
        <v>2010</v>
      </c>
      <c r="L53" s="21">
        <v>2011</v>
      </c>
      <c r="M53" s="21">
        <v>2012</v>
      </c>
      <c r="N53" s="21">
        <v>2013</v>
      </c>
      <c r="O53" s="21">
        <v>2014</v>
      </c>
      <c r="P53" s="1">
        <v>2015</v>
      </c>
      <c r="Q53" s="1">
        <v>2016</v>
      </c>
      <c r="R53" s="1">
        <v>2017</v>
      </c>
      <c r="S53" s="1">
        <v>2018</v>
      </c>
      <c r="T53" s="1">
        <v>2019</v>
      </c>
      <c r="U53" s="1">
        <v>2020</v>
      </c>
      <c r="V53" s="1">
        <v>2021</v>
      </c>
      <c r="W53" s="1">
        <v>2022</v>
      </c>
      <c r="X53" s="1">
        <v>2023</v>
      </c>
      <c r="Y53" s="1">
        <v>2024</v>
      </c>
      <c r="Z53" s="1">
        <v>2025</v>
      </c>
      <c r="AB53" s="4"/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B53" s="1" t="s">
        <v>90</v>
      </c>
      <c r="BC53" s="1" t="s">
        <v>91</v>
      </c>
      <c r="BD53" s="1" t="s">
        <v>92</v>
      </c>
      <c r="BE53" s="1" t="s">
        <v>93</v>
      </c>
      <c r="BF53" s="1" t="s">
        <v>94</v>
      </c>
      <c r="BG53" s="1" t="s">
        <v>95</v>
      </c>
      <c r="BH53" s="1" t="s">
        <v>96</v>
      </c>
      <c r="BI53" s="1" t="s">
        <v>97</v>
      </c>
      <c r="BJ53" s="1" t="s">
        <v>98</v>
      </c>
      <c r="BK53" s="1" t="s">
        <v>99</v>
      </c>
      <c r="BL53" s="1" t="s">
        <v>100</v>
      </c>
      <c r="BM53" s="1" t="s">
        <v>101</v>
      </c>
    </row>
    <row r="54" ht="15.75" spans="1:65"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0"/>
      <c r="AC54" s="17"/>
      <c r="AD54" s="10"/>
      <c r="BG54" s="11"/>
    </row>
    <row r="55" ht="15.75" spans="1:65">
      <c r="D55" s="1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11"/>
      <c r="BC55" s="11"/>
      <c r="BD55" s="11"/>
      <c r="BE55" s="11"/>
      <c r="BF55" s="11"/>
      <c r="BG55" s="11"/>
      <c r="BH55" s="11"/>
      <c r="BI55" s="12"/>
      <c r="BJ55" s="12"/>
      <c r="BK55" s="12"/>
      <c r="BL55" s="12"/>
      <c r="BM55" s="12"/>
    </row>
    <row r="56" ht="15.75" spans="1:65">
      <c r="D56" s="16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11"/>
      <c r="BC56" s="11"/>
      <c r="BD56" s="11"/>
      <c r="BE56" s="11"/>
      <c r="BF56" s="11"/>
      <c r="BG56" s="11"/>
      <c r="BH56" s="11"/>
      <c r="BI56" s="12"/>
      <c r="BJ56" s="12"/>
      <c r="BK56" s="12"/>
      <c r="BL56" s="12"/>
      <c r="BM56" s="12"/>
    </row>
    <row r="57" ht="15.75" spans="1:65">
      <c r="D57" s="10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9"/>
      <c r="BG57" s="11"/>
    </row>
    <row r="58" ht="15.75" spans="1:65">
      <c r="A58" s="13"/>
      <c r="B58" s="6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  <c r="AB58" s="10"/>
      <c r="AC58" s="9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B58" s="11"/>
      <c r="BC58" s="11"/>
      <c r="BD58" s="11"/>
      <c r="BE58" s="11"/>
      <c r="BF58" s="11"/>
      <c r="BG58" s="11"/>
      <c r="BH58" s="11"/>
      <c r="BI58" s="11"/>
      <c r="BJ58" s="12"/>
      <c r="BK58" s="12"/>
      <c r="BL58" s="12"/>
      <c r="BM58" s="12"/>
    </row>
    <row r="59" ht="15.75" spans="1:65">
      <c r="A59" s="13"/>
      <c r="B59" s="6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  <c r="AB59" s="10"/>
      <c r="AC59" s="9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B59" s="11"/>
      <c r="BC59" s="11"/>
      <c r="BD59" s="11"/>
      <c r="BE59" s="11"/>
      <c r="BF59" s="11"/>
      <c r="BG59" s="11"/>
      <c r="BH59" s="11"/>
      <c r="BI59" s="11"/>
      <c r="BJ59" s="12"/>
      <c r="BK59" s="12"/>
      <c r="BL59" s="12"/>
      <c r="BM59" s="12"/>
    </row>
    <row r="60" ht="15.75" spans="1:65">
      <c r="A60" s="6"/>
      <c r="B60" s="6"/>
      <c r="D60" s="15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9"/>
      <c r="BG60" s="11"/>
    </row>
    <row r="61" ht="15.75" spans="1:65">
      <c r="A61" s="6"/>
      <c r="B61" s="6"/>
      <c r="D61" s="10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9"/>
      <c r="BG61" s="11"/>
    </row>
    <row r="62" spans="1:65">
      <c r="D62" s="10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7" spans="1:29">
      <c r="A67" s="6"/>
      <c r="B67" s="6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73" spans="1:29"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6:29"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6:29"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6:29"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6:29"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6:29"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6:29"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6:29"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6:29"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6:29"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6:29"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6:29"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6:29"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6:29"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6:29"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6:29"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6:29"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6:29"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6:29"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6:29"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6:29"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6:29"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6:29"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6:29"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6:29"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6:29"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6:29"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6:29"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6:29"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6:29"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6:29"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16:29"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6:29"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6:29"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6:29"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6:29"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6:29"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6:29"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spans="16:29"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spans="16:29"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6:29"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6:29"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6:29"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6:29"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6:29"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6:29"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6:29"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spans="16:29"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6:29"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6:29"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spans="16:29"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6:29"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6:29"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6:29"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6:29"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6:29"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6:29"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6:29"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6:29"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6:29"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6:29"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6:29"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6:29"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6:29"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6:29"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spans="16:29"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spans="16:29"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6:29"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6:29"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6:29"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spans="16:29"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spans="16:29"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6:29"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6:29"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6:29"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6:29"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6:29"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6:29"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6:29"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6:29"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spans="16:29"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spans="16:29"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spans="16:29"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spans="16:29"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spans="16:29"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spans="16:29"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6:29"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6:29"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6:29"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6:29"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spans="16:29"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spans="16:29"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spans="16:29"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spans="16:29"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spans="16:29"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spans="16:29"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spans="16:29"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spans="16:29"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6:29"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6:29"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spans="16:29"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spans="16:29"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spans="16:29"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spans="16:29"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spans="16:29"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spans="16:29"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spans="16:29"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spans="16:29"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spans="16:29"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spans="16:29"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spans="16:29"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spans="16:29"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spans="16:29"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spans="16:29"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spans="16:29"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spans="16:29"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spans="16:29"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spans="16:29"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spans="16:29"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spans="16:29"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spans="16:29"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spans="16:29"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spans="16:29"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spans="16:29"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spans="16:29"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spans="16:29"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spans="16:29"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spans="16:29"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spans="16:29"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spans="16:29"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spans="16:29"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spans="16:29"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spans="16:29"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spans="16:29"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spans="16:29"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spans="16:29"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spans="16:29"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spans="16:29"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spans="16:29"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spans="16:29"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spans="16:29"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spans="16:29"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spans="16:29"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spans="16:29"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spans="16:29"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spans="16:29"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spans="16:29"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spans="16:29"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spans="16:29"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spans="16:29"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spans="16:29"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spans="16:29"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spans="16:29"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spans="16:29"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spans="16:29"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spans="16:29"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spans="16:29">
      <c r="P236" s="22" t="e">
        <f>(#REF!-#REF!)/#REF!</f>
        <v>#REF!</v>
      </c>
      <c r="Q236" s="22" t="e">
        <f>(#REF!-#REF!)/#REF!</f>
        <v>#REF!</v>
      </c>
      <c r="R236" s="22" t="e">
        <f>(#REF!-#REF!)/#REF!</f>
        <v>#REF!</v>
      </c>
      <c r="S236" s="22" t="e">
        <f>(#REF!-#REF!)/#REF!</f>
        <v>#REF!</v>
      </c>
      <c r="T236" s="22">
        <f>(C236-C3)/C3</f>
        <v>-1</v>
      </c>
      <c r="U236" s="22">
        <f>(D236-D3)/D3</f>
        <v>-1</v>
      </c>
      <c r="V236" s="22">
        <f>(E236-E3)/E3</f>
        <v>-1</v>
      </c>
      <c r="W236" s="22" t="e">
        <f>(P236-#REF!)/#REF!</f>
        <v>#REF!</v>
      </c>
      <c r="X236" s="22" t="e">
        <f>(Q236-#REF!)/#REF!</f>
        <v>#REF!</v>
      </c>
      <c r="Y236" s="22" t="e">
        <f>(R236-#REF!)/#REF!</f>
        <v>#REF!</v>
      </c>
      <c r="Z236" s="22" t="e">
        <f>(S236-#REF!)/#REF!</f>
        <v>#REF!</v>
      </c>
      <c r="AA236" s="22"/>
      <c r="AB236" s="22"/>
      <c r="AC236" s="22"/>
    </row>
    <row r="237" spans="16:29"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spans="16:29"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spans="16:29"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spans="16:29"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spans="16:29"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spans="16:29"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spans="16:29"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spans="16:29"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spans="16:29"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spans="16:29"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spans="16:29"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spans="16:29"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spans="16:29"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spans="16:29"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spans="16:29"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spans="16:29"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spans="16:29"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spans="16:29"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spans="16:29"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spans="16:29"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spans="16:29"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spans="16:29"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spans="16:29"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spans="16:29"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spans="16:29"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spans="16:29"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spans="16:29"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spans="16:29"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spans="16:29"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spans="16:29"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spans="16:29"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spans="16:29"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spans="16:29"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spans="16:29"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spans="16:29"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spans="16:29"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spans="16:29"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spans="16:29"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spans="16:29"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spans="16:29"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spans="16:29"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spans="16:29"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spans="16:29"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spans="16:29"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spans="16:29"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spans="16:29"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spans="16:29"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spans="16:29"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spans="16:29"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spans="16:29"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spans="16:29"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spans="16:29"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spans="16:29"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spans="16:29"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spans="16:29"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spans="16:29"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spans="16:29"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spans="16:29"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spans="16:29"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spans="16:29"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spans="16:29"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spans="16:29"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spans="16:29"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spans="16:29"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spans="16:29"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spans="16:29"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spans="16:29"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spans="16:29"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spans="16:29"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spans="16:29"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spans="16:29"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spans="16:29"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spans="16:29"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spans="16:29"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spans="16:29"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spans="16:29"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spans="16:29"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spans="16:29"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spans="16:29"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spans="16:29"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spans="16:29"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spans="16:29"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spans="16:29"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spans="16:29"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spans="16:29"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spans="16:29"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spans="16:29"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spans="16:29"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spans="16:29"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spans="16:29"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spans="16:29"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spans="16:29"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spans="16:29"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spans="16:29"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spans="16:29"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spans="16:29"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spans="16:29"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spans="16:29"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spans="16:29"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spans="16:29"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spans="16:29"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spans="16:29"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spans="16:29"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spans="16:29"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spans="16:29"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spans="16:29"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spans="16:29"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spans="16:29"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spans="16:29"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spans="16:29"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spans="16:29"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spans="16:29"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spans="16:29"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spans="16:29"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spans="16:29"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spans="16:29"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spans="16:29"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spans="16:29"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spans="16:29"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spans="16:29"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spans="16:29"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spans="16:29"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spans="16:29"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spans="16:29"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spans="16:29"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spans="16:29"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spans="16:29"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spans="16:29"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spans="16:29"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spans="16:29"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spans="16:29"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spans="16:29"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spans="16:29"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spans="16:29"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spans="16:29"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spans="16:29"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spans="16:29"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spans="16:29"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spans="16:29"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spans="16:29"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spans="16:29"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spans="16:29"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spans="16:29"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spans="16:29"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spans="16:29"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spans="16:29"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spans="16:29"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spans="16:29"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spans="16:29"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spans="16:29"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spans="16:29"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spans="16:29"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spans="16:29"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spans="16:29"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spans="16:29"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spans="16:29"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spans="16:29"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spans="16:29"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spans="16:29"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spans="16:29"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spans="16:29"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spans="16:29"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spans="16:29"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spans="16:29"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spans="16:29"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spans="16:29"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spans="16:29"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spans="16:29"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spans="16:29"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spans="16:29"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spans="16:29"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spans="16:29"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spans="16:29"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spans="16:29"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spans="16:29"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spans="16:29"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spans="16:29"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spans="16:29"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spans="16:29"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spans="16:29"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spans="16:29"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spans="16:29"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spans="16:29"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spans="16:29"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spans="16:29"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spans="16:29"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spans="16:29"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spans="16:29"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spans="16:29"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spans="16:29"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spans="16:29"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spans="16:29"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spans="16:29"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spans="16:29"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spans="16:29"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spans="16:29"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spans="16:29"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spans="16:29"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spans="16:29"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spans="16:29"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spans="16:29"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spans="16:29"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spans="16:29"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spans="16:29"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spans="16:29"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spans="16:29"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spans="16:29"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spans="16:29"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spans="16:29"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spans="16:29"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spans="16:29"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spans="16:29"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spans="16:29"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spans="16:29"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spans="16:29"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spans="16:29"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spans="16:29"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spans="16:29"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spans="16:29"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spans="16:29"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spans="16:29"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spans="16:29"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spans="16:29"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spans="16:29"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spans="16:29"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spans="16:29"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spans="16:29"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spans="16:29"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spans="16:29"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spans="16:29"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spans="16:29"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spans="16:29"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spans="16:29"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spans="16:29"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spans="16:29"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spans="16:29"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spans="16:29"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spans="16:29"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spans="16:29"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spans="16:29"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spans="16:29"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spans="16:29"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spans="16:29"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spans="16:29">
      <c r="P480" s="22" t="e">
        <f>(#REF!-#REF!)/#REF!</f>
        <v>#REF!</v>
      </c>
      <c r="Q480" s="22" t="e">
        <f>(#REF!-#REF!)/#REF!</f>
        <v>#REF!</v>
      </c>
      <c r="R480" s="22" t="e">
        <f>(#REF!-#REF!)/#REF!</f>
        <v>#REF!</v>
      </c>
      <c r="S480" s="22" t="e">
        <f>(#REF!-#REF!)/#REF!</f>
        <v>#REF!</v>
      </c>
      <c r="T480" s="22" t="e">
        <f>(C480-C236)/C236</f>
        <v>#DIV/0!</v>
      </c>
      <c r="U480" s="22" t="e">
        <f>(D480-D236)/D236</f>
        <v>#DIV/0!</v>
      </c>
      <c r="V480" s="22" t="e">
        <f>(E480-E236)/E236</f>
        <v>#DIV/0!</v>
      </c>
      <c r="W480" s="22" t="e">
        <f>(P480-P236)/P236</f>
        <v>#REF!</v>
      </c>
      <c r="X480" s="22" t="e">
        <f>(Q480-Q236)/Q236</f>
        <v>#REF!</v>
      </c>
      <c r="Y480" s="22" t="e">
        <f>(R480-R236)/R236</f>
        <v>#REF!</v>
      </c>
      <c r="Z480" s="22" t="e">
        <f>(S480-S236)/S236</f>
        <v>#REF!</v>
      </c>
      <c r="AA480" s="22"/>
      <c r="AB480" s="22"/>
      <c r="AC480" s="22"/>
    </row>
    <row r="481" spans="16:29"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spans="16:29"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spans="16:29"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spans="16:29"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spans="16:29"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spans="16:29"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spans="16:29"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spans="16:29"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spans="16:29"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spans="16:29"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spans="16:29"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spans="16:29"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spans="16:29"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spans="16:29"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spans="16:29"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spans="16:29"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spans="16:29"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spans="16:29"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spans="16:29"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spans="16:29"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spans="16:29"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spans="16:29"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spans="16:29"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spans="16:29"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spans="16:29"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spans="16:29"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spans="16:29"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spans="16:29"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spans="16:29"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spans="16:29"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spans="16:29"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spans="16:29"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spans="16:29"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spans="16:29"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spans="16:29"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spans="16:29"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spans="16:29"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spans="16:29"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spans="16:29"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spans="16:29"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spans="16:29"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spans="16:29"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spans="16:29"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spans="16:29"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spans="16:29"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spans="16:29"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spans="16:29"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spans="16:29"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spans="16:29"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spans="16:29"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spans="16:29"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spans="16:29"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spans="16:29"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spans="16:29"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spans="16:29"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spans="16:29"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spans="16:29"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spans="16:29"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spans="16:29"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spans="16:29"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spans="16:29"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spans="16:29"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spans="16:29"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spans="16:29"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spans="16:29"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spans="16:29"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spans="16:29"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spans="16:29"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spans="16:29"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spans="16:29"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spans="16:29"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spans="16:29"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spans="16:29"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spans="16:29"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spans="16:29"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spans="16:29"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spans="16:29"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spans="16:29"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spans="16:29"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spans="16:29"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spans="16:29"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spans="16:29"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spans="16:29"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spans="16:29"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spans="16:29"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spans="16:29"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spans="16:29"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spans="16:29"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spans="16:29"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spans="16:29"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spans="16:29"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spans="16:29"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spans="16:29"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spans="16:29"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spans="16:29"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spans="16:29"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spans="16:29"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spans="16:29"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spans="16:29"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spans="16:29"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spans="16:29"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spans="16:29"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spans="16:29"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spans="16:29"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spans="16:29"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spans="16:29"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spans="16:29"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spans="16:29"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spans="16:29"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spans="16:29"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spans="16:29"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spans="16:29"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spans="16:29"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spans="16:29"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spans="16:29"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spans="16:29"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spans="16:29"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spans="16:29"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spans="16:29"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spans="16:29"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spans="16:29"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spans="16:29"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spans="16:29"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spans="16:29"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spans="16:29"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spans="16:29"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spans="16:29"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spans="16:29"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spans="16:29"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spans="16:29"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spans="16:29"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spans="16:29"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spans="16:29"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spans="16:29"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spans="16:29"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spans="16:29"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spans="16:29"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spans="16:29"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spans="16:29"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spans="16:29"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spans="16:29"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spans="16:29"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spans="16:29"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spans="16:29"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spans="16:29"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spans="16:29"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spans="16:29"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spans="16:29"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spans="16:29"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spans="16:29"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spans="16:29"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spans="16:29"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spans="16:29"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spans="16:29"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spans="16:29"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spans="16:29"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spans="16:29"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spans="16:29"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spans="16:29"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spans="16:29"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spans="16:29"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spans="16:29"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spans="16:29"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spans="16:29"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spans="16:29"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spans="16:29"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spans="16:29"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spans="16:29"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spans="16:29"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spans="16:29"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spans="16:29"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spans="16:29"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spans="16:29"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spans="16:29"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spans="16:29"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spans="16:29"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spans="16:29"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spans="16:29"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spans="16:29"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spans="16:29"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spans="16:29"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spans="16:29"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spans="16:29"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spans="16:29"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spans="16:29"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spans="16:29"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spans="16:29"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spans="16:29"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spans="16:29"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spans="16:29"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spans="16:29"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spans="16:29"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spans="16:29"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spans="16:29"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spans="16:29"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spans="16:29"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spans="16:29"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spans="16:29"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spans="16:29"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spans="16:29"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spans="16:29"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spans="16:29"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spans="16:29"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spans="16:29"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spans="16:29"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spans="16:29"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spans="16:29"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spans="16:29"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spans="16:29"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spans="16:29"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spans="16:29"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spans="16:29"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spans="16:29"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spans="16:29"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spans="16:29"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spans="16:29"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spans="16:29"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spans="16:29"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spans="16:29"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spans="16:29"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spans="16:29"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spans="16:29"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spans="16:29"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spans="16:29"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spans="16:29"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spans="16:29"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spans="16:29"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spans="16:29"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spans="16:29"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spans="16:29"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spans="16:29"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spans="16:29"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spans="16:29"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spans="16:29"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spans="16:29"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spans="16:29"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spans="16:29"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spans="16:29"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spans="16:29"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spans="16:29"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spans="16:29"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spans="16:29"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spans="16:29">
      <c r="P723" s="22" t="e">
        <f>(#REF!-#REF!)/#REF!</f>
        <v>#REF!</v>
      </c>
      <c r="Q723" s="22" t="e">
        <f>(#REF!-#REF!)/#REF!</f>
        <v>#REF!</v>
      </c>
      <c r="R723" s="22" t="e">
        <f>(#REF!-#REF!)/#REF!</f>
        <v>#REF!</v>
      </c>
      <c r="S723" s="22" t="e">
        <f>(#REF!-#REF!)/#REF!</f>
        <v>#REF!</v>
      </c>
      <c r="T723" s="22" t="e">
        <f>(C723-C480)/C480</f>
        <v>#DIV/0!</v>
      </c>
      <c r="U723" s="22" t="e">
        <f>(D723-D480)/D480</f>
        <v>#DIV/0!</v>
      </c>
      <c r="V723" s="22" t="e">
        <f>(E723-E480)/E480</f>
        <v>#DIV/0!</v>
      </c>
      <c r="W723" s="22" t="e">
        <f>(P723-P480)/P480</f>
        <v>#REF!</v>
      </c>
      <c r="X723" s="22" t="e">
        <f>(Q723-Q480)/Q480</f>
        <v>#REF!</v>
      </c>
      <c r="Y723" s="22" t="e">
        <f>(R723-R480)/R480</f>
        <v>#REF!</v>
      </c>
      <c r="Z723" s="22" t="e">
        <f>(S723-S480)/S480</f>
        <v>#REF!</v>
      </c>
      <c r="AA723" s="22"/>
      <c r="AB723" s="22"/>
      <c r="AC723" s="22"/>
    </row>
    <row r="724" spans="16:29"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spans="16:29"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spans="16:29"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spans="16:29"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spans="16:29"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spans="16:29"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spans="16:29"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spans="16:29"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spans="16:29"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spans="16:29"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spans="16:29"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spans="16:29"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spans="16:29"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spans="16:29"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spans="16:29"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spans="16:29"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spans="16:29"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spans="16:29"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spans="16:29"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spans="16:29"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spans="16:29"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spans="16:29"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spans="16:29"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spans="16:29"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spans="16:29"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spans="16:29"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spans="16:29"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spans="16:29"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spans="16:29"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spans="16:29"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spans="16:29"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spans="16:29"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spans="16:29"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spans="16:29"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spans="16:29"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spans="16:29"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spans="16:29"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spans="16:29"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spans="16:29"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spans="16:29"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spans="16:29"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spans="16:29"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spans="16:29"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spans="16:29"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spans="16:29"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spans="16:29"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spans="16:29"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spans="16:29"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spans="16:29"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spans="16:29"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spans="16:29"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spans="16:29"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spans="16:29"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spans="16:29"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spans="16:29"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spans="16:29"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spans="16:29"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spans="16:29"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spans="16:29"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spans="16:29"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spans="16:29"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spans="16:29"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spans="16:29"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spans="16:29"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spans="16:29"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spans="16:29"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spans="16:29"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spans="16:29"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spans="16:29"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spans="16:29"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spans="16:29"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spans="16:29"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spans="16:29"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spans="16:29"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spans="16:29"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spans="16:29"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spans="16:29"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spans="16:29"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spans="16:29"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spans="16:29"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spans="16:29"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spans="16:29"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spans="16:29"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spans="16:29"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spans="16:29"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spans="16:29"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spans="16:29"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spans="16:29"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spans="16:29"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spans="16:29"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spans="16:29"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spans="16:29"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spans="16:29"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spans="16:29"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spans="16:29"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spans="16:29"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spans="16:29"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spans="16:29"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spans="16:29"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spans="16:29"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spans="16:29"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spans="16:29"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spans="16:29"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spans="16:29"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spans="16:29"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spans="16:29"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spans="16:29"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spans="16:29"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spans="16:29"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spans="16:29"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spans="16:29"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spans="16:29"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spans="16:29"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spans="16:29"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spans="16:29"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spans="16:29"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spans="16:29"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spans="16:29"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spans="16:29"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spans="16:29"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spans="16:29"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spans="16:29"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spans="16:29"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spans="16:29"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spans="16:29"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spans="16:29"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spans="16:29"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spans="16:29"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spans="16:29"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spans="16:29"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spans="16:29"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spans="16:29"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spans="16:29"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spans="16:29"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spans="16:29"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spans="16:29"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spans="16:29"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spans="16:29"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spans="16:29"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spans="16:29"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spans="16:29"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spans="16:29"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spans="16:29"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spans="16:29"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spans="16:29"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spans="16:29"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spans="16:29"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spans="16:29"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spans="16:29"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spans="16:29"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spans="16:29"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spans="16:29"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spans="16:29"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spans="16:29"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spans="16:29"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spans="16:29"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spans="16:29"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spans="16:29"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spans="16:29"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spans="16:29"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spans="16:29"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spans="16:29"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spans="16:29"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spans="16:29"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spans="16:29"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spans="16:29"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spans="16:29"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spans="16:29"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spans="16:29"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spans="16:29"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spans="16:29"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spans="16:29"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spans="16:29"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spans="16:29"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spans="16:29"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spans="16:29"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spans="16:29"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spans="16:29"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spans="16:29"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spans="16:29"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spans="16:29"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spans="16:29"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spans="16:29"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spans="16:29"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spans="16:29"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spans="16:29"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spans="16:29"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spans="16:29"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spans="16:29"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spans="16:29"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spans="16:29"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spans="16:29"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spans="16:29"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spans="16:29"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spans="16:29"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spans="16:29"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spans="16:29"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spans="16:29"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spans="16:29"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spans="16:29"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spans="16:29"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spans="16:29"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spans="16:29"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spans="16:29"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spans="16:29"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spans="16:29"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spans="16:29"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spans="16:29"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spans="16:29"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spans="16:29"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spans="16:29"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spans="16:29"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spans="16:29"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spans="16:29"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spans="16:29"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spans="16:29"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spans="16:29"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spans="16:29"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spans="16:29"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spans="16:29"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spans="16:29"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spans="16:29"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spans="16:29"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spans="16:29"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spans="16:29"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spans="16:29"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spans="16:29"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spans="16:29"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spans="16:29"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spans="16:29"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spans="16:29"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spans="16:29"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spans="16:29"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spans="16:29"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spans="16:29"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spans="16:29"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spans="16:29"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spans="16:29"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spans="16:29"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spans="16:29"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spans="16:29"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spans="16:29"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spans="16:29"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spans="16:29">
      <c r="P967" s="22" t="e">
        <f>(#REF!-#REF!)/#REF!</f>
        <v>#REF!</v>
      </c>
      <c r="Q967" s="22" t="e">
        <f>(#REF!-#REF!)/#REF!</f>
        <v>#REF!</v>
      </c>
      <c r="R967" s="22" t="e">
        <f>(#REF!-#REF!)/#REF!</f>
        <v>#REF!</v>
      </c>
      <c r="S967" s="22" t="e">
        <f>(#REF!-#REF!)/#REF!</f>
        <v>#REF!</v>
      </c>
      <c r="T967" s="22" t="e">
        <f>(C967-C723)/C723</f>
        <v>#DIV/0!</v>
      </c>
      <c r="U967" s="22" t="e">
        <f>(D967-D723)/D723</f>
        <v>#DIV/0!</v>
      </c>
      <c r="V967" s="22" t="e">
        <f>(E967-E723)/E723</f>
        <v>#DIV/0!</v>
      </c>
      <c r="W967" s="22" t="e">
        <f>(P967-P723)/P723</f>
        <v>#REF!</v>
      </c>
      <c r="X967" s="22" t="e">
        <f>(Q967-Q723)/Q723</f>
        <v>#REF!</v>
      </c>
      <c r="Y967" s="22" t="e">
        <f>(R967-R723)/R723</f>
        <v>#REF!</v>
      </c>
      <c r="Z967" s="22" t="e">
        <f>(S967-S723)/S723</f>
        <v>#REF!</v>
      </c>
      <c r="AA967" s="22"/>
      <c r="AB967" s="22"/>
      <c r="AC967" s="22"/>
    </row>
    <row r="968" spans="16:29"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spans="16:29"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spans="16:29"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spans="16:29"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spans="16:29"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spans="16:29"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spans="16:29"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spans="16:29"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spans="16:29"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spans="16:29"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spans="16:29"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spans="16:29"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spans="16:29"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spans="16:29"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spans="16:29"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spans="16:29"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spans="16:29"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spans="16:29"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spans="16:29"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spans="16:29"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spans="16:29"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spans="16:29"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spans="16:29"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spans="16:29"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spans="16:29"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spans="16:29"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spans="16:29"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spans="16:29"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spans="16:29"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spans="16:29"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spans="16:29"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spans="16:29"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spans="16:29"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 spans="16:29"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 spans="16:29"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 spans="16:29"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 spans="16:29"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 spans="16:29"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 spans="16:29"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 spans="16:29"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 spans="16:29"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 spans="16:29"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</row>
    <row r="1010" spans="16:29"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</row>
    <row r="1011" spans="16:29"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</row>
    <row r="1012" spans="16:29"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</row>
    <row r="1013" spans="16:29"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</row>
    <row r="1014" spans="16:29"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</row>
    <row r="1015" spans="16:29"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</row>
    <row r="1016" spans="16:29"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</row>
    <row r="1017" spans="16:29"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</row>
    <row r="1018" spans="16:29"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</row>
    <row r="1019" spans="16:29"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</row>
    <row r="1020" spans="16:29"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</row>
    <row r="1021" spans="16:29"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</row>
    <row r="1022" spans="16:29"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</row>
    <row r="1023" spans="16:29"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</row>
    <row r="1024" spans="16:29"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</row>
    <row r="1025" spans="16:29"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</row>
    <row r="1026" spans="16:29"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</row>
    <row r="1027" spans="16:29"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</row>
    <row r="1028" spans="16:29"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</row>
    <row r="1029" spans="16:29"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</row>
    <row r="1030" spans="16:29"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</row>
    <row r="1031" spans="16:29"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</row>
    <row r="1032" spans="16:29"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</row>
    <row r="1033" spans="16:29"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</row>
    <row r="1034" spans="16:29"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</row>
    <row r="1035" spans="16:29"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</row>
    <row r="1036" spans="16:29"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</row>
    <row r="1037" spans="16:29"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</row>
    <row r="1038" spans="16:29"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</row>
    <row r="1039" spans="16:29"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</row>
    <row r="1040" spans="16:29"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</row>
    <row r="1041" spans="16:29"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</row>
    <row r="1042" spans="16:29"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</row>
    <row r="1043" spans="16:29"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</row>
    <row r="1044" spans="16:29"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</row>
    <row r="1045" spans="16:29"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</row>
    <row r="1046" spans="16:29"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</row>
    <row r="1047" spans="16:29"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</row>
    <row r="1048" spans="16:29"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</row>
    <row r="1049" spans="16:29"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</row>
    <row r="1050" spans="16:29"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</row>
    <row r="1051" spans="16:29"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</row>
    <row r="1052" spans="16:29"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</row>
    <row r="1053" spans="16:29"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</row>
    <row r="1054" spans="16:29"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</row>
    <row r="1055" spans="16:29"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</row>
    <row r="1056" spans="16:29"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</row>
    <row r="1057" spans="16:29"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</row>
    <row r="1058" spans="16:29"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</row>
    <row r="1059" spans="16:29"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</row>
    <row r="1060" spans="16:29"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</row>
    <row r="1061" spans="16:29"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</row>
    <row r="1062" spans="16:29"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</row>
    <row r="1063" spans="16:29"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</row>
    <row r="1064" spans="16:29"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</row>
    <row r="1065" spans="16:29"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</row>
    <row r="1066" spans="16:29"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</row>
    <row r="1067" spans="16:29"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</row>
    <row r="1068" spans="16:29"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</row>
    <row r="1069" spans="16:29"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</row>
    <row r="1070" spans="16:29"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</row>
    <row r="1071" spans="16:29"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</row>
    <row r="1072" spans="16:29"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</row>
    <row r="1073" spans="16:29"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</row>
    <row r="1074" spans="16:29"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</row>
    <row r="1075" spans="16:29"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</row>
    <row r="1076" spans="16:29"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</row>
    <row r="1077" spans="16:29"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</row>
    <row r="1078" spans="16:29"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</row>
    <row r="1079" spans="16:29"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</row>
    <row r="1080" spans="16:29"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</row>
    <row r="1081" spans="16:29"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</row>
    <row r="1082" spans="16:29"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</row>
    <row r="1083" spans="16:29"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</row>
    <row r="1084" spans="16:29"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</row>
    <row r="1085" spans="16:29"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</row>
    <row r="1086" spans="16:29"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</row>
    <row r="1087" spans="16:29"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</row>
    <row r="1088" spans="16:29"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</row>
    <row r="1089" spans="16:29"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</row>
    <row r="1090" spans="16:29"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</row>
    <row r="1091" spans="16:29"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</row>
    <row r="1092" spans="16:29"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</row>
    <row r="1093" spans="16:29"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</row>
    <row r="1094" spans="16:29"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</row>
    <row r="1095" spans="16:29"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</row>
    <row r="1096" spans="16:29"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</row>
    <row r="1097" spans="16:29"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</row>
    <row r="1098" spans="16:29"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</row>
    <row r="1099" spans="16:29"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</row>
    <row r="1100" spans="16:29"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</row>
    <row r="1101" spans="16:29"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</row>
    <row r="1102" spans="16:29"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</row>
    <row r="1103" spans="16:29"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</row>
    <row r="1104" spans="16:29"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</row>
    <row r="1105" spans="16:29"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</row>
    <row r="1106" spans="16:29"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</row>
    <row r="1107" spans="16:29"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</row>
    <row r="1108" spans="16:29"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</row>
    <row r="1109" spans="16:29"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</row>
    <row r="1110" spans="16:29"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</row>
    <row r="1111" spans="16:29"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</row>
    <row r="1112" spans="16:29"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</row>
    <row r="1113" spans="16:29"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</row>
    <row r="1114" spans="16:29"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</row>
    <row r="1115" spans="16:29"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</row>
    <row r="1116" spans="16:29"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</row>
    <row r="1117" spans="16:29"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</row>
    <row r="1118" spans="16:29"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</row>
    <row r="1119" spans="16:29"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</row>
    <row r="1120" spans="16:29"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</row>
    <row r="1121" spans="16:29"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</row>
    <row r="1122" spans="16:29"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</row>
    <row r="1123" spans="16:29"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</row>
    <row r="1124" spans="16:29"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</row>
    <row r="1125" spans="16:29"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</row>
    <row r="1126" spans="16:29"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</row>
    <row r="1127" spans="16:29"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</row>
    <row r="1128" spans="16:29"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</row>
    <row r="1129" spans="16:29"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</row>
    <row r="1130" spans="16:29"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</row>
    <row r="1131" spans="16:29"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</row>
    <row r="1132" spans="16:29"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</row>
    <row r="1133" spans="16:29"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</row>
    <row r="1134" spans="16:29"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</row>
    <row r="1135" spans="16:29"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</row>
    <row r="1136" spans="16:29"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</row>
    <row r="1137" spans="16:29"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</row>
    <row r="1138" spans="16:29"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</row>
    <row r="1139" spans="16:29"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</row>
    <row r="1140" spans="16:29"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</row>
    <row r="1141" spans="16:29"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</row>
    <row r="1142" spans="16:29"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</row>
    <row r="1143" spans="16:29"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</row>
    <row r="1144" spans="16:29"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</row>
    <row r="1145" spans="16:29"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</row>
    <row r="1146" spans="16:29"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</row>
    <row r="1147" spans="16:29"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</row>
    <row r="1148" spans="16:29"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</row>
    <row r="1149" spans="16:29"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</row>
    <row r="1150" spans="16:29"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</row>
    <row r="1151" spans="16:29"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</row>
    <row r="1152" spans="16:29"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</row>
    <row r="1153" spans="16:29"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</row>
    <row r="1154" spans="16:29"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</row>
    <row r="1155" spans="16:29"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</row>
    <row r="1156" spans="16:29"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</row>
    <row r="1157" spans="16:29"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</row>
    <row r="1158" spans="16:29"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</row>
    <row r="1159" spans="16:29"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</row>
    <row r="1160" spans="16:29"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</row>
    <row r="1161" spans="16:29"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</row>
    <row r="1162" spans="16:29"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</row>
    <row r="1163" spans="16:29"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</row>
    <row r="1164" spans="16:29"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</row>
    <row r="1165" spans="16:29"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</row>
    <row r="1166" spans="16:29"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</row>
    <row r="1167" spans="16:29"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</row>
    <row r="1168" spans="16:29"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</row>
    <row r="1169" spans="16:29"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</row>
    <row r="1170" spans="16:29"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</row>
    <row r="1171" spans="16:29"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</row>
    <row r="1172" spans="16:29"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</row>
    <row r="1173" spans="16:29"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</row>
    <row r="1174" spans="16:29"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</row>
    <row r="1175" spans="16:29"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</row>
    <row r="1176" spans="16:29"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</row>
    <row r="1177" spans="16:29"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</row>
    <row r="1178" spans="16:29"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</row>
    <row r="1179" spans="16:29"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</row>
    <row r="1180" spans="16:29"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</row>
    <row r="1181" spans="16:29"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</row>
    <row r="1182" spans="16:29"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</row>
    <row r="1183" spans="16:29"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</row>
    <row r="1184" spans="16:29"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</row>
    <row r="1185" spans="16:29"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</row>
    <row r="1186" spans="16:29"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</row>
    <row r="1187" spans="16:29"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</row>
    <row r="1188" spans="16:29"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</row>
    <row r="1189" spans="16:29"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</row>
    <row r="1190" spans="16:29"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</row>
    <row r="1191" spans="16:29"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</row>
    <row r="1192" spans="16:29"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</row>
    <row r="1193" spans="16:29"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</row>
    <row r="1194" spans="16:29"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</row>
    <row r="1195" spans="16:29"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</row>
    <row r="1196" spans="16:29"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</row>
    <row r="1197" spans="16:29"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</row>
    <row r="1198" spans="16:29"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</row>
    <row r="1199" spans="16:29"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</row>
    <row r="1200" spans="16:29"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</row>
    <row r="1201" spans="16:29"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</row>
    <row r="1202" spans="16:29"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</row>
    <row r="1203" spans="16:29"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</row>
    <row r="1204" spans="16:29"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</row>
    <row r="1205" spans="16:29"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</row>
    <row r="1206" spans="16:29"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</row>
    <row r="1207" spans="16:29"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</row>
    <row r="1208" spans="16:29"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</row>
    <row r="1209" spans="16:29"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</row>
    <row r="1210" spans="16:29">
      <c r="P1210" s="22" t="e">
        <f>(#REF!-#REF!)/#REF!</f>
        <v>#REF!</v>
      </c>
      <c r="Q1210" s="22" t="e">
        <f>(#REF!-#REF!)/#REF!</f>
        <v>#REF!</v>
      </c>
      <c r="R1210" s="22" t="e">
        <f>(#REF!-#REF!)/#REF!</f>
        <v>#REF!</v>
      </c>
      <c r="S1210" s="22" t="e">
        <f>(#REF!-#REF!)/#REF!</f>
        <v>#REF!</v>
      </c>
      <c r="T1210" s="22" t="e">
        <f>(C1210-C967)/C967</f>
        <v>#DIV/0!</v>
      </c>
      <c r="U1210" s="22" t="e">
        <f>(D1210-D967)/D967</f>
        <v>#DIV/0!</v>
      </c>
      <c r="V1210" s="22" t="e">
        <f>(E1210-E967)/E967</f>
        <v>#DIV/0!</v>
      </c>
      <c r="W1210" s="22" t="e">
        <f>(P1210-P967)/P967</f>
        <v>#REF!</v>
      </c>
      <c r="X1210" s="22" t="e">
        <f>(Q1210-Q967)/Q967</f>
        <v>#REF!</v>
      </c>
      <c r="Y1210" s="22" t="e">
        <f>(R1210-R967)/R967</f>
        <v>#REF!</v>
      </c>
      <c r="Z1210" s="22" t="e">
        <f>(S1210-S967)/S967</f>
        <v>#REF!</v>
      </c>
      <c r="AA1210" s="22"/>
      <c r="AB1210" s="22"/>
      <c r="AC1210" s="22"/>
    </row>
    <row r="1211" spans="16:29"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</row>
    <row r="1212" spans="16:29"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</row>
    <row r="1213" spans="16:29"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</row>
    <row r="1214" spans="16:29"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</row>
    <row r="1215" spans="16:29"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</row>
    <row r="1216" spans="16:29"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</row>
    <row r="1217" spans="16:29"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</row>
    <row r="1218" spans="16:29"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</row>
    <row r="1219" spans="16:29"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</row>
    <row r="1220" spans="16:29"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</row>
    <row r="1221" spans="16:29"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</row>
    <row r="1222" spans="16:29"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</row>
    <row r="1223" spans="16:29"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</row>
    <row r="1224" spans="16:29"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</row>
    <row r="1225" spans="16:29"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</row>
    <row r="1226" spans="16:29"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</row>
    <row r="1227" spans="16:29"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</row>
    <row r="1228" spans="16:29"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</row>
    <row r="1229" spans="16:29"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</row>
    <row r="1230" spans="16:29"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</row>
    <row r="1231" spans="16:29"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</row>
    <row r="1232" spans="16:29"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</row>
    <row r="1233" spans="16:29"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</row>
    <row r="1234" spans="16:29"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</row>
    <row r="1235" spans="16:29"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</row>
    <row r="1236" spans="16:29"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</row>
    <row r="1237" spans="16:29"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</row>
    <row r="1238" spans="16:29"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</row>
    <row r="1239" spans="16:29"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</row>
    <row r="1240" spans="16:29"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</row>
    <row r="1241" spans="16:29"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</row>
    <row r="1242" spans="16:29"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</row>
    <row r="1243" spans="16:29"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</row>
    <row r="1244" spans="16:29"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</row>
    <row r="1245" spans="16:29"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</row>
    <row r="1246" spans="16:29"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</row>
    <row r="1247" spans="16:29"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</row>
    <row r="1248" spans="16:29"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</row>
    <row r="1249" spans="16:29"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</row>
    <row r="1250" spans="16:29"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</row>
    <row r="1251" spans="16:29"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</row>
    <row r="1252" spans="16:29"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</row>
    <row r="1253" spans="16:29"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</row>
    <row r="1254" spans="16:29"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</row>
    <row r="1255" spans="16:29"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</row>
    <row r="1256" spans="16:29"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</row>
    <row r="1257" spans="16:29"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</row>
    <row r="1258" spans="16:29"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</row>
    <row r="1259" spans="16:29"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</row>
    <row r="1260" spans="16:29"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</row>
    <row r="1261" spans="16:29"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</row>
    <row r="1262" spans="16:29"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</row>
    <row r="1263" spans="16:29"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</row>
    <row r="1264" spans="16:29"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</row>
    <row r="1265" spans="16:29"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</row>
    <row r="1266" spans="16:29"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</row>
    <row r="1267" spans="16:29"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</row>
    <row r="1268" spans="16:29"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</row>
    <row r="1269" spans="16:29"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</row>
    <row r="1270" spans="16:29"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</row>
    <row r="1271" spans="16:29"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</row>
    <row r="1272" spans="16:29"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</row>
    <row r="1273" spans="16:29"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</row>
    <row r="1274" spans="16:29"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</row>
    <row r="1275" spans="16:29"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</row>
    <row r="1276" spans="16:29"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</row>
    <row r="1277" spans="16:29"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</row>
    <row r="1278" spans="16:29"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</row>
    <row r="1279" spans="16:29"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</row>
    <row r="1280" spans="16:29"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</row>
    <row r="1281" spans="16:29"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</row>
    <row r="1282" spans="16:29"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</row>
    <row r="1283" spans="16:29"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</row>
    <row r="1284" spans="16:29"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</row>
    <row r="1285" spans="16:29"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</row>
    <row r="1286" spans="16:29"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</row>
    <row r="1287" spans="16:29"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</row>
    <row r="1288" spans="16:29"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</row>
    <row r="1289" spans="16:29"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</row>
    <row r="1290" spans="16:29"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</row>
    <row r="1291" spans="16:29"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</row>
    <row r="1292" spans="16:29"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</row>
    <row r="1293" spans="16:29"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</row>
    <row r="1294" spans="16:29"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</row>
    <row r="1295" spans="16:29"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</row>
    <row r="1296" spans="16:29"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</row>
    <row r="1297" spans="16:29"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</row>
    <row r="1298" spans="16:29"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</row>
    <row r="1299" spans="16:29"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</row>
    <row r="1300" spans="16:29"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</row>
    <row r="1301" spans="16:29"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</row>
    <row r="1302" spans="16:29"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</row>
    <row r="1303" spans="16:29"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</row>
    <row r="1304" spans="16:29"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</row>
    <row r="1305" spans="16:29"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</row>
    <row r="1306" spans="16:29"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</row>
    <row r="1307" spans="16:29"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</row>
    <row r="1308" spans="16:29"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</row>
    <row r="1309" spans="16:29"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</row>
    <row r="1310" spans="16:29"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</row>
    <row r="1311" spans="16:29"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</row>
    <row r="1312" spans="16:29"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</row>
    <row r="1313" spans="16:29"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</row>
    <row r="1314" spans="16:29"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</row>
    <row r="1315" spans="16:29"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</row>
    <row r="1316" spans="16:29"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</row>
    <row r="1317" spans="16:29"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</row>
    <row r="1318" spans="16:29"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</row>
    <row r="1319" spans="16:29"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</row>
    <row r="1320" spans="16:29"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</row>
    <row r="1321" spans="16:29"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</row>
    <row r="1322" spans="16:29"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</row>
    <row r="1323" spans="16:29"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</row>
    <row r="1324" spans="16:29"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</row>
    <row r="1325" spans="16:29"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</row>
    <row r="1326" spans="16:29"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</row>
    <row r="1327" spans="16:29"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</row>
    <row r="1328" spans="16:29"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</row>
    <row r="1329" spans="16:29"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</row>
    <row r="1330" spans="16:29"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</row>
    <row r="1331" spans="16:29"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</row>
    <row r="1332" spans="16:29"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</row>
    <row r="1333" spans="16:29"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</row>
    <row r="1334" spans="16:29"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</row>
    <row r="1335" spans="16:29"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</row>
    <row r="1336" spans="16:29"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</row>
    <row r="1337" spans="16:29"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</row>
    <row r="1338" spans="16:29"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</row>
    <row r="1339" spans="16:29"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</row>
    <row r="1340" spans="16:29"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</row>
    <row r="1341" spans="16:29"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</row>
    <row r="1342" spans="16:29"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</row>
    <row r="1343" spans="16:29"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</row>
    <row r="1344" spans="16:29"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</row>
    <row r="1345" spans="16:29"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</row>
    <row r="1346" spans="16:29"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</row>
    <row r="1347" spans="16:29"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</row>
    <row r="1348" spans="16:29"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</row>
    <row r="1349" spans="16:29"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</row>
    <row r="1350" spans="16:29"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</row>
    <row r="1351" spans="16:29"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</row>
    <row r="1352" spans="16:29"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</row>
    <row r="1353" spans="16:29"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</row>
    <row r="1354" spans="16:29"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</row>
    <row r="1355" spans="16:29"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</row>
    <row r="1356" spans="16:29"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</row>
    <row r="1357" spans="16:29"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</row>
    <row r="1358" spans="16:29"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</row>
    <row r="1359" spans="16:29"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</row>
    <row r="1360" spans="16:29"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</row>
    <row r="1361" spans="16:29"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</row>
    <row r="1362" spans="16:29"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</row>
    <row r="1363" spans="16:29"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</row>
    <row r="1364" spans="16:29"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</row>
    <row r="1365" spans="16:29"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</row>
    <row r="1366" spans="16:29"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</row>
    <row r="1367" spans="16:29"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</row>
    <row r="1368" spans="16:29"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</row>
    <row r="1369" spans="16:29"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</row>
    <row r="1370" spans="16:29"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</row>
    <row r="1371" spans="16:29"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</row>
    <row r="1372" spans="16:29"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</row>
    <row r="1373" spans="16:29"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</row>
    <row r="1374" spans="16:29"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</row>
    <row r="1375" spans="16:29"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</row>
    <row r="1376" spans="16:29"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</row>
    <row r="1377" spans="16:29"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</row>
    <row r="1378" spans="16:29"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</row>
    <row r="1379" spans="16:29"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</row>
    <row r="1380" spans="16:29"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</row>
    <row r="1381" spans="16:29"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</row>
    <row r="1382" spans="16:29"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</row>
    <row r="1383" spans="16:29"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</row>
    <row r="1384" spans="16:29"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</row>
    <row r="1385" spans="16:29"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</row>
    <row r="1386" spans="16:29"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</row>
    <row r="1387" spans="16:29"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</row>
    <row r="1388" spans="16:29"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</row>
    <row r="1389" spans="16:29"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</row>
    <row r="1390" spans="16:29"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</row>
    <row r="1391" spans="16:29"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</row>
    <row r="1392" spans="16:29"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</row>
    <row r="1393" spans="16:29"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</row>
    <row r="1394" spans="16:29"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</row>
    <row r="1395" spans="16:29"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</row>
    <row r="1396" spans="16:29"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</row>
    <row r="1397" spans="16:29"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</row>
    <row r="1398" spans="16:29"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</row>
    <row r="1399" spans="16:29"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</row>
    <row r="1400" spans="16:29"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</row>
    <row r="1401" spans="16:29"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</row>
    <row r="1402" spans="16:29"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</row>
    <row r="1403" spans="16:29"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</row>
    <row r="1404" spans="16:29"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</row>
    <row r="1405" spans="16:29"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</row>
    <row r="1406" spans="16:29"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</row>
    <row r="1407" spans="16:29"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</row>
    <row r="1408" spans="16:29"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</row>
    <row r="1409" spans="16:29"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</row>
    <row r="1410" spans="16:29"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</row>
    <row r="1411" spans="16:29"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</row>
    <row r="1412" spans="16:29"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</row>
    <row r="1413" spans="16:29"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</row>
    <row r="1414" spans="16:29"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</row>
    <row r="1415" spans="16:29"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</row>
    <row r="1416" spans="16:29"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</row>
    <row r="1417" spans="16:29"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</row>
    <row r="1418" spans="16:29"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</row>
    <row r="1419" spans="16:29"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</row>
    <row r="1420" spans="16:29"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</row>
    <row r="1421" spans="16:29"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</row>
    <row r="1422" spans="16:29"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</row>
    <row r="1423" spans="16:29"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</row>
    <row r="1424" spans="16:29"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</row>
    <row r="1425" spans="16:29"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</row>
    <row r="1426" spans="16:29"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</row>
    <row r="1427" spans="16:29"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</row>
    <row r="1428" spans="16:29"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</row>
    <row r="1429" spans="16:29"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</row>
    <row r="1430" spans="16:29"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</row>
    <row r="1431" spans="16:29"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</row>
    <row r="1432" spans="16:29"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</row>
    <row r="1433" spans="16:29"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</row>
    <row r="1434" spans="16:29"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</row>
    <row r="1435" spans="16:29"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</row>
    <row r="1436" spans="16:29"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</row>
    <row r="1437" spans="16:29"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</row>
    <row r="1438" spans="16:29"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</row>
    <row r="1439" spans="16:29"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</row>
    <row r="1440" spans="16:29"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</row>
    <row r="1441" spans="16:29"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</row>
    <row r="1442" spans="16:29"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</row>
    <row r="1443" spans="16:29"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</row>
    <row r="1444" spans="16:29"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</row>
    <row r="1445" spans="16:29"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</row>
    <row r="1446" spans="16:29"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</row>
    <row r="1447" spans="16:29"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</row>
    <row r="1448" spans="16:29"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</row>
    <row r="1449" spans="16:29"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</row>
    <row r="1450" spans="16:29"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</row>
    <row r="1451" spans="16:29"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</row>
    <row r="1452" spans="16:29"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</row>
    <row r="1453" spans="16:29">
      <c r="P1453" s="22" t="e">
        <f>(#REF!-#REF!)/#REF!</f>
        <v>#REF!</v>
      </c>
      <c r="Q1453" s="22" t="e">
        <f>(#REF!-#REF!)/#REF!</f>
        <v>#REF!</v>
      </c>
      <c r="R1453" s="22" t="e">
        <f>(#REF!-#REF!)/#REF!</f>
        <v>#REF!</v>
      </c>
      <c r="S1453" s="22" t="e">
        <f>(#REF!-#REF!)/#REF!</f>
        <v>#REF!</v>
      </c>
      <c r="T1453" s="22" t="e">
        <f>(C1453-C1210)/C1210</f>
        <v>#DIV/0!</v>
      </c>
      <c r="U1453" s="22" t="e">
        <f>(D1453-D1210)/D1210</f>
        <v>#DIV/0!</v>
      </c>
      <c r="V1453" s="22" t="e">
        <f>(E1453-E1210)/E1210</f>
        <v>#DIV/0!</v>
      </c>
      <c r="W1453" s="22" t="e">
        <f>(P1453-P1210)/P1210</f>
        <v>#REF!</v>
      </c>
      <c r="X1453" s="22" t="e">
        <f>(Q1453-Q1210)/Q1210</f>
        <v>#REF!</v>
      </c>
      <c r="Y1453" s="22" t="e">
        <f>(R1453-R1210)/R1210</f>
        <v>#REF!</v>
      </c>
      <c r="Z1453" s="22" t="e">
        <f>(S1453-S1210)/S1210</f>
        <v>#REF!</v>
      </c>
      <c r="AA1453" s="22"/>
      <c r="AB1453" s="22"/>
      <c r="AC1453" s="22"/>
    </row>
    <row r="1454" spans="16:29"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</row>
    <row r="1455" spans="16:29"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</row>
    <row r="1456" spans="16:29"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</row>
    <row r="1457" spans="16:29"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</row>
    <row r="1458" spans="16:29"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</row>
    <row r="1459" spans="16:29"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</row>
    <row r="1460" spans="16:29"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</row>
    <row r="1461" spans="16:29"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</row>
    <row r="1462" spans="16:29"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</row>
    <row r="1463" spans="16:29"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</row>
    <row r="1464" spans="16:29"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</row>
    <row r="1465" spans="16:29"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</row>
    <row r="1466" spans="16:29"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</row>
    <row r="1467" spans="16:29"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</row>
    <row r="1468" spans="16:29"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</row>
    <row r="1469" spans="16:29"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</row>
    <row r="1470" spans="16:29"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</row>
    <row r="1471" spans="16:29"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</row>
    <row r="1472" spans="16:29"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</row>
    <row r="1473" spans="16:29"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</row>
    <row r="1474" spans="16:29"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</row>
    <row r="1475" spans="16:29"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</row>
    <row r="1476" spans="16:29"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</row>
    <row r="1477" spans="16:29"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</row>
    <row r="1478" spans="16:29"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</row>
    <row r="1479" spans="16:29"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</row>
    <row r="1480" spans="16:29"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</row>
    <row r="1481" spans="16:29"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</row>
    <row r="1482" spans="16:29"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</row>
    <row r="1483" spans="16:29"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</row>
    <row r="1484" spans="16:29"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</row>
    <row r="1485" spans="16:29"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</row>
    <row r="1486" spans="16:29"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</row>
    <row r="1487" spans="16:29"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</row>
    <row r="1488" spans="16:29"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</row>
    <row r="1489" spans="16:29"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</row>
    <row r="1490" spans="16:29"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</row>
    <row r="1491" spans="16:29"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</row>
    <row r="1492" spans="16:29"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</row>
    <row r="1493" spans="16:29"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</row>
    <row r="1494" spans="16:29"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</row>
    <row r="1495" spans="16:29"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</row>
    <row r="1496" spans="16:29"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</row>
    <row r="1497" spans="16:29"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</row>
    <row r="1498" spans="16:29"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</row>
    <row r="1499" spans="16:29"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</row>
    <row r="1500" spans="16:29"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</row>
    <row r="1501" spans="16:29"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</row>
    <row r="1502" spans="16:29"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</row>
    <row r="1503" spans="16:29"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</row>
    <row r="1504" spans="16:29"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</row>
    <row r="1505" spans="16:29"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</row>
    <row r="1506" spans="16:29"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</row>
    <row r="1507" spans="16:29"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</row>
    <row r="1508" spans="16:29"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</row>
    <row r="1509" spans="16:29"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</row>
    <row r="1510" spans="16:29"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</row>
    <row r="1511" spans="16:29"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</row>
    <row r="1512" spans="16:29"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</row>
    <row r="1513" spans="16:29"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</row>
    <row r="1514" spans="16:29"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</row>
    <row r="1515" spans="16:29"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</row>
    <row r="1516" spans="16:29"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</row>
    <row r="1517" spans="16:29"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</row>
    <row r="1518" spans="16:29"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</row>
    <row r="1519" spans="16:29"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</row>
    <row r="1520" spans="16:29"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</row>
    <row r="1521" spans="16:29"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</row>
    <row r="1522" spans="16:29"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</row>
    <row r="1523" spans="16:29"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</row>
    <row r="1524" spans="16:29"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</row>
    <row r="1525" spans="16:29"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</row>
    <row r="1526" spans="16:29"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</row>
    <row r="1527" spans="16:29"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</row>
    <row r="1528" spans="16:29"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</row>
    <row r="1529" spans="16:29"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</row>
    <row r="1530" spans="16:29"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</row>
    <row r="1531" spans="16:29"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</row>
    <row r="1532" spans="16:29"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</row>
    <row r="1533" spans="16:29"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</row>
    <row r="1534" spans="16:29"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</row>
    <row r="1535" spans="16:29"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</row>
    <row r="1536" spans="16:29"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</row>
    <row r="1537" spans="16:29"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</row>
    <row r="1538" spans="16:29"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</row>
    <row r="1539" spans="16:29"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</row>
    <row r="1540" spans="16:29"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</row>
    <row r="1541" spans="16:29"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</row>
    <row r="1542" spans="16:29"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</row>
    <row r="1543" spans="16:29"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</row>
    <row r="1544" spans="16:29"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</row>
    <row r="1545" spans="16:29"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</row>
    <row r="1546" spans="16:29"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</row>
    <row r="1547" spans="16:29"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</row>
    <row r="1548" spans="16:29"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</row>
    <row r="1549" spans="16:29"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</row>
    <row r="1550" spans="16:29"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</row>
    <row r="1551" spans="16:29"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</row>
    <row r="1552" spans="16:29"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</row>
    <row r="1553" spans="16:29"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</row>
    <row r="1554" spans="16:29"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</row>
    <row r="1555" spans="16:29"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</row>
    <row r="1556" spans="16:29"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</row>
    <row r="1557" spans="16:29"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</row>
    <row r="1558" spans="16:29"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</row>
    <row r="1559" spans="16:29"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</row>
    <row r="1560" spans="16:29"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</row>
    <row r="1561" spans="16:29"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</row>
    <row r="1562" spans="16:29"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</row>
    <row r="1563" spans="16:29"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</row>
    <row r="1564" spans="16:29"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</row>
    <row r="1565" spans="16:29"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</row>
    <row r="1566" spans="16:29"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</row>
    <row r="1567" spans="16:29"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</row>
    <row r="1568" spans="16:29"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</row>
    <row r="1569" spans="16:29"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</row>
    <row r="1570" spans="16:29"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</row>
    <row r="1571" spans="16:29"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</row>
    <row r="1572" spans="16:29"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</row>
    <row r="1573" spans="16:29"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</row>
    <row r="1574" spans="16:29"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</row>
    <row r="1575" spans="16:29"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</row>
    <row r="1576" spans="16:29"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</row>
    <row r="1577" spans="16:29"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</row>
    <row r="1578" spans="16:29"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</row>
    <row r="1579" spans="16:29"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</row>
    <row r="1580" spans="16:29"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</row>
    <row r="1581" spans="16:29"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</row>
    <row r="1582" spans="16:29"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</row>
    <row r="1583" spans="16:29"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</row>
    <row r="1584" spans="16:29"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</row>
    <row r="1585" spans="16:29"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</row>
    <row r="1586" spans="16:29"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</row>
    <row r="1587" spans="16:29"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</row>
    <row r="1588" spans="16:29"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</row>
    <row r="1589" spans="16:29"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</row>
    <row r="1590" spans="16:29"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</row>
    <row r="1591" spans="16:29"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</row>
    <row r="1592" spans="16:29"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</row>
    <row r="1593" spans="16:29"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</row>
    <row r="1594" spans="16:29"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</row>
    <row r="1595" spans="16:29"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</row>
    <row r="1596" spans="16:29"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</row>
    <row r="1597" spans="16:29"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</row>
    <row r="1598" spans="16:29"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</row>
    <row r="1599" spans="16:29"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</row>
    <row r="1600" spans="16:29"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</row>
    <row r="1601" spans="16:29"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</row>
    <row r="1602" spans="16:29"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</row>
    <row r="1603" spans="16:29"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</row>
    <row r="1604" spans="16:29"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</row>
    <row r="1605" spans="16:29"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</row>
    <row r="1606" spans="16:29"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</row>
    <row r="1607" spans="16:29"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</row>
    <row r="1608" spans="16:29"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</row>
    <row r="1609" spans="16:29"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</row>
    <row r="1610" spans="16:29"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</row>
    <row r="1611" spans="16:29"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</row>
    <row r="1612" spans="16:29"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</row>
    <row r="1613" spans="16:29"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</row>
    <row r="1614" spans="16:29"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</row>
    <row r="1615" spans="16:29"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</row>
    <row r="1616" spans="16:29"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</row>
    <row r="1617" spans="16:29"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</row>
    <row r="1618" spans="16:29"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</row>
    <row r="1619" spans="16:29"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</row>
    <row r="1620" spans="16:29"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</row>
    <row r="1621" spans="16:29"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</row>
    <row r="1622" spans="16:29"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</row>
    <row r="1623" spans="16:29"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</row>
    <row r="1624" spans="16:29"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</row>
    <row r="1625" spans="16:29"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</row>
    <row r="1626" spans="16:29"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</row>
    <row r="1627" spans="16:29"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</row>
    <row r="1628" spans="16:29"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</row>
    <row r="1629" spans="16:29"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</row>
    <row r="1630" spans="16:29"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</row>
    <row r="1631" spans="16:29"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</row>
    <row r="1632" spans="16:29"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</row>
    <row r="1633" spans="16:29"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</row>
    <row r="1634" spans="16:29"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</row>
    <row r="1635" spans="16:29"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</row>
    <row r="1636" spans="16:29"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</row>
    <row r="1637" spans="16:29"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</row>
    <row r="1638" spans="16:29"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</row>
    <row r="1639" spans="16:29"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</row>
    <row r="1640" spans="16:29"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</row>
    <row r="1641" spans="16:29"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</row>
    <row r="1642" spans="16:29"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</row>
    <row r="1643" spans="16:29"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</row>
    <row r="1644" spans="16:29"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</row>
    <row r="1645" spans="16:29"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</row>
    <row r="1646" spans="16:29"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</row>
    <row r="1647" spans="16:29"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</row>
    <row r="1648" spans="16:29"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</row>
    <row r="1649" spans="16:29"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</row>
    <row r="1650" spans="16:29"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</row>
    <row r="1651" spans="16:29"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</row>
    <row r="1652" spans="16:29"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</row>
    <row r="1653" spans="16:29"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</row>
    <row r="1654" spans="16:29"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</row>
    <row r="1655" spans="16:29"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</row>
    <row r="1656" spans="16:29"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</row>
    <row r="1657" spans="16:29"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</row>
    <row r="1658" spans="16:29"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</row>
    <row r="1659" spans="16:29"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</row>
    <row r="1660" spans="16:29"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</row>
    <row r="1661" spans="16:29"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</row>
    <row r="1662" spans="16:29"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</row>
    <row r="1663" spans="16:29"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</row>
    <row r="1664" spans="16:29"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</row>
    <row r="1665" spans="16:29"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</row>
    <row r="1666" spans="16:29"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</row>
    <row r="1667" spans="16:29"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</row>
    <row r="1668" spans="16:29"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</row>
    <row r="1669" spans="16:29"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</row>
    <row r="1670" spans="16:29"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</row>
    <row r="1671" spans="16:29"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</row>
    <row r="1672" spans="16:29"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</row>
    <row r="1673" spans="16:29"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</row>
    <row r="1674" spans="16:29"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</row>
    <row r="1675" spans="16:29"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</row>
    <row r="1676" spans="16:29"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</row>
    <row r="1677" spans="16:29"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</row>
    <row r="1678" spans="16:29"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</row>
    <row r="1679" spans="16:29"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</row>
    <row r="1680" spans="16:29"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</row>
    <row r="1681" spans="16:29"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</row>
    <row r="1682" spans="16:29"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</row>
    <row r="1683" spans="16:29"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</row>
    <row r="1684" spans="16:29"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</row>
    <row r="1685" spans="16:29"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</row>
    <row r="1686" spans="16:29"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</row>
    <row r="1687" spans="16:29"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</row>
    <row r="1688" spans="16:29"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</row>
    <row r="1689" spans="16:29"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</row>
    <row r="1690" spans="16:29"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</row>
    <row r="1691" spans="16:29"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</row>
    <row r="1692" spans="16:29"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</row>
    <row r="1693" spans="16:29"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</row>
    <row r="1694" spans="16:29"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</row>
    <row r="1695" spans="16:29">
      <c r="P1695" s="22" t="e">
        <f>(#REF!-#REF!)/#REF!</f>
        <v>#REF!</v>
      </c>
      <c r="Q1695" s="22" t="e">
        <f>(#REF!-#REF!)/#REF!</f>
        <v>#REF!</v>
      </c>
      <c r="R1695" s="22" t="e">
        <f>(#REF!-#REF!)/#REF!</f>
        <v>#REF!</v>
      </c>
      <c r="S1695" s="22" t="e">
        <f>(#REF!-#REF!)/#REF!</f>
        <v>#REF!</v>
      </c>
      <c r="T1695" s="22" t="e">
        <f>(C1695-C1453)/C1453</f>
        <v>#DIV/0!</v>
      </c>
      <c r="U1695" s="22" t="e">
        <f>(D1695-D1453)/D1453</f>
        <v>#DIV/0!</v>
      </c>
      <c r="V1695" s="22" t="e">
        <f>(E1695-E1453)/E1453</f>
        <v>#DIV/0!</v>
      </c>
      <c r="W1695" s="22" t="e">
        <f>(P1695-P1453)/P1453</f>
        <v>#REF!</v>
      </c>
      <c r="X1695" s="22" t="e">
        <f>(Q1695-Q1453)/Q1453</f>
        <v>#REF!</v>
      </c>
      <c r="Y1695" s="22" t="e">
        <f>(R1695-R1453)/R1453</f>
        <v>#REF!</v>
      </c>
      <c r="Z1695" s="22" t="e">
        <f>(S1695-S1453)/S1453</f>
        <v>#REF!</v>
      </c>
      <c r="AA1695" s="22"/>
      <c r="AB1695" s="22"/>
      <c r="AC1695" s="22"/>
    </row>
    <row r="1696" spans="16:29"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</row>
    <row r="1697" spans="16:29"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</row>
    <row r="1698" spans="16:29"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</row>
    <row r="1699" spans="16:29"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</row>
    <row r="1700" spans="16:29"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</row>
    <row r="1701" spans="16:29"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</row>
    <row r="1702" spans="16:29"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</row>
    <row r="1703" spans="16:29"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</row>
    <row r="1704" spans="16:29"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</row>
    <row r="1705" spans="16:29"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</row>
    <row r="1706" spans="16:29"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</row>
    <row r="1707" spans="16:29"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</row>
    <row r="1708" spans="16:29"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</row>
    <row r="1709" spans="16:29"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</row>
    <row r="1710" spans="16:29"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</row>
    <row r="1711" spans="16:29"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</row>
    <row r="1712" spans="16:29"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</row>
    <row r="1713" spans="16:29"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</row>
    <row r="1714" spans="16:29"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</row>
    <row r="1715" spans="16:29"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</row>
    <row r="1716" spans="16:29"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</row>
    <row r="1717" spans="16:29"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</row>
    <row r="1718" spans="16:29"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</row>
    <row r="1719" spans="16:29"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</row>
    <row r="1720" spans="16:29"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</row>
    <row r="1721" spans="16:29"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</row>
    <row r="1722" spans="16:29"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</row>
    <row r="1723" spans="16:29"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</row>
    <row r="1724" spans="16:29"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</row>
    <row r="1725" spans="16:29"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</row>
    <row r="1726" spans="16:29"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</row>
    <row r="1727" spans="16:29"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</row>
    <row r="1728" spans="16:29"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</row>
    <row r="1729" spans="16:29"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</row>
    <row r="1730" spans="16:29"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</row>
    <row r="1731" spans="16:29"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</row>
    <row r="1732" spans="16:29"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</row>
    <row r="1733" spans="16:29"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</row>
    <row r="1734" spans="16:29"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</row>
    <row r="1735" spans="16:29"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</row>
    <row r="1736" spans="16:29"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</row>
    <row r="1737" spans="16:29"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</row>
    <row r="1738" spans="16:29"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</row>
    <row r="1739" spans="16:29"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</row>
    <row r="1740" spans="16:29"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</row>
    <row r="1741" spans="16:29"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</row>
    <row r="1742" spans="16:29"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</row>
    <row r="1743" spans="16:29"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</row>
    <row r="1744" spans="16:29"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</row>
    <row r="1745" spans="16:29"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</row>
    <row r="1746" spans="16:29"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</row>
    <row r="1747" spans="16:29"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</row>
    <row r="1748" spans="16:29"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</row>
    <row r="1749" spans="16:29"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</row>
    <row r="1750" spans="16:29"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</row>
    <row r="1751" spans="16:29"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</row>
    <row r="1752" spans="16:29"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</row>
    <row r="1753" spans="16:29"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</row>
    <row r="1754" spans="16:29"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</row>
    <row r="1755" spans="16:29"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</row>
    <row r="1756" spans="16:29"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</row>
    <row r="1757" spans="16:29"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</row>
    <row r="1758" spans="16:29"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</row>
    <row r="1759" spans="16:29"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</row>
    <row r="1760" spans="16:29"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</row>
    <row r="1761" spans="16:29"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</row>
    <row r="1762" spans="16:29"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</row>
    <row r="1763" spans="16:29"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</row>
    <row r="1764" spans="16:29"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</row>
    <row r="1765" spans="16:29"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</row>
    <row r="1766" spans="16:29"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</row>
    <row r="1767" spans="16:29"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</row>
    <row r="1768" spans="16:29"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</row>
    <row r="1769" spans="16:29"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</row>
    <row r="1770" spans="16:29"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</row>
    <row r="1771" spans="16:29"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</row>
    <row r="1772" spans="16:29"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</row>
    <row r="1773" spans="16:29"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</row>
    <row r="1774" spans="16:29"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</row>
    <row r="1775" spans="16:29"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</row>
    <row r="1776" spans="16:29"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</row>
    <row r="1777" spans="16:29"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</row>
    <row r="1778" spans="16:29"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</row>
    <row r="1779" spans="16:29"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</row>
    <row r="1780" spans="16:29"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</row>
    <row r="1781" spans="16:29"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</row>
    <row r="1782" spans="16:29"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</row>
    <row r="1783" spans="16:29"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</row>
    <row r="1784" spans="16:29"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</row>
    <row r="1785" spans="16:29"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</row>
    <row r="1786" spans="16:29"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</row>
    <row r="1787" spans="16:29"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</row>
    <row r="1788" spans="16:29"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</row>
    <row r="1789" spans="16:29"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</row>
    <row r="1790" spans="16:29"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</row>
    <row r="1791" spans="16:29"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</row>
    <row r="1792" spans="16:29"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</row>
    <row r="1793" spans="16:29"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</row>
    <row r="1794" spans="16:29"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</row>
    <row r="1795" spans="16:29"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</row>
    <row r="1796" spans="16:29"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</row>
    <row r="1797" spans="16:29"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</row>
    <row r="1798" spans="16:29"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</row>
    <row r="1799" spans="16:29"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</row>
    <row r="1800" spans="16:29"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</row>
    <row r="1801" spans="16:29"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</row>
    <row r="1802" spans="16:29"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</row>
    <row r="1803" spans="16:29"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</row>
    <row r="1804" spans="16:29"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</row>
    <row r="1805" spans="16:29"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</row>
    <row r="1806" spans="16:29"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</row>
    <row r="1807" spans="16:29"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</row>
    <row r="1808" spans="16:29"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</row>
    <row r="1809" spans="16:29"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</row>
    <row r="1810" spans="16:29"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</row>
    <row r="1811" spans="16:29"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</row>
    <row r="1812" spans="16:29"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</row>
    <row r="1813" spans="16:29"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</row>
    <row r="1814" spans="16:29"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</row>
    <row r="1815" spans="16:29"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</row>
    <row r="1816" spans="16:29"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</row>
    <row r="1817" spans="16:29"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</row>
    <row r="1818" spans="16:29"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</row>
    <row r="1819" spans="16:29"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</row>
    <row r="1820" spans="16:29"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</row>
    <row r="1821" spans="16:29"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</row>
    <row r="1822" spans="16:29"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</row>
    <row r="1823" spans="16:29"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</row>
    <row r="1824" spans="16:29"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</row>
    <row r="1825" spans="16:29"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</row>
    <row r="1826" spans="16:29"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</row>
    <row r="1827" spans="16:29"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</row>
    <row r="1828" spans="16:29"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</row>
    <row r="1829" spans="16:29"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</row>
    <row r="1830" spans="16:29"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</row>
    <row r="1831" spans="16:29"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</row>
    <row r="1832" spans="16:29"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</row>
    <row r="1833" spans="16:29"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</row>
    <row r="1834" spans="16:29"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</row>
    <row r="1835" spans="16:29"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</row>
    <row r="1836" spans="16:29"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</row>
    <row r="1837" spans="16:29"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</row>
    <row r="1838" spans="16:29"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</row>
    <row r="1839" spans="16:29"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</row>
    <row r="1840" spans="16:29"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</row>
    <row r="1841" spans="16:29"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</row>
    <row r="1842" spans="16:29"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</row>
    <row r="1843" spans="16:29"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</row>
    <row r="1844" spans="16:29"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</row>
    <row r="1845" spans="16:29"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</row>
    <row r="1846" spans="16:29"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</row>
    <row r="1847" spans="16:29"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</row>
    <row r="1848" spans="16:29"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</row>
    <row r="1849" spans="16:29"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</row>
    <row r="1850" spans="16:29"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</row>
    <row r="1851" spans="16:29"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</row>
    <row r="1852" spans="16:29"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</row>
    <row r="1853" spans="16:29"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</row>
    <row r="1854" spans="16:29"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</row>
    <row r="1855" spans="16:29"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</row>
    <row r="1856" spans="16:29"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</row>
    <row r="1857" spans="16:29"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</row>
    <row r="1858" spans="16:29"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</row>
    <row r="1859" spans="16:29"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</row>
    <row r="1860" spans="16:29"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</row>
    <row r="1861" spans="16:29"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</row>
    <row r="1862" spans="16:29"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</row>
    <row r="1863" spans="16:29"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</row>
    <row r="1864" spans="16:29"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</row>
    <row r="1865" spans="16:29"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</row>
    <row r="1866" spans="16:29"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</row>
    <row r="1867" spans="16:29"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</row>
    <row r="1868" spans="16:29"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</row>
    <row r="1869" spans="16:29"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</row>
    <row r="1870" spans="16:29"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</row>
    <row r="1871" spans="16:29"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</row>
    <row r="1872" spans="16:29"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</row>
    <row r="1873" spans="16:29"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</row>
    <row r="1874" spans="16:29"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</row>
    <row r="1875" spans="16:29"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</row>
    <row r="1876" spans="16:29"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</row>
    <row r="1877" spans="16:29"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</row>
    <row r="1878" spans="16:29"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</row>
    <row r="1879" spans="16:29"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</row>
    <row r="1880" spans="16:29"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</row>
    <row r="1881" spans="16:29"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</row>
    <row r="1882" spans="16:29"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</row>
    <row r="1883" spans="16:29"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</row>
    <row r="1884" spans="16:29"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</row>
    <row r="1885" spans="16:29"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</row>
    <row r="1886" spans="16:29"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</row>
    <row r="1887" spans="16:29"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</row>
    <row r="1888" spans="16:29"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</row>
    <row r="1889" spans="16:29"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</row>
    <row r="1890" spans="16:29"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</row>
    <row r="1891" spans="16:29"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</row>
    <row r="1892" spans="16:29"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</row>
    <row r="1893" spans="16:29"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</row>
    <row r="1894" spans="16:29"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</row>
    <row r="1895" spans="16:29"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</row>
    <row r="1896" spans="16:29"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</row>
    <row r="1897" spans="16:29"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</row>
    <row r="1898" spans="16:29"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</row>
    <row r="1899" spans="16:29"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</row>
    <row r="1900" spans="16:29"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</row>
    <row r="1901" spans="16:29"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</row>
    <row r="1902" spans="16:29"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</row>
    <row r="1903" spans="16:29"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</row>
    <row r="1904" spans="16:29"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</row>
    <row r="1905" spans="16:29"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</row>
    <row r="1906" spans="16:29"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</row>
    <row r="1907" spans="16:29"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</row>
    <row r="1908" spans="16:29"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</row>
    <row r="1909" spans="16:29"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</row>
    <row r="1910" spans="16:29"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</row>
    <row r="1911" spans="16:29"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</row>
    <row r="1912" spans="16:29"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</row>
    <row r="1913" spans="16:29"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</row>
    <row r="1914" spans="16:29"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</row>
    <row r="1915" spans="16:29"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</row>
    <row r="1916" spans="16:29"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</row>
    <row r="1917" spans="16:29"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</row>
    <row r="1918" spans="16:29"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</row>
    <row r="1919" spans="16:29"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</row>
    <row r="1920" spans="16:29"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</row>
    <row r="1921" spans="16:29"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</row>
    <row r="1922" spans="16:29"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</row>
    <row r="1923" spans="16:29"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</row>
    <row r="1924" spans="16:29"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</row>
    <row r="1925" spans="16:29"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</row>
    <row r="1926" spans="16:29"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</row>
    <row r="1927" spans="16:29"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</row>
    <row r="1928" spans="16:29"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</row>
    <row r="1929" spans="16:29"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</row>
    <row r="1930" spans="16:29"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</row>
    <row r="1931" spans="16:29"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</row>
    <row r="1932" spans="16:29"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</row>
    <row r="1933" spans="16:29"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</row>
    <row r="1934" spans="16:29"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</row>
    <row r="1935" spans="16:29"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</row>
    <row r="1936" spans="16:29"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</row>
    <row r="1937" spans="16:29">
      <c r="P1937" s="22" t="e">
        <f>(#REF!-#REF!)/#REF!</f>
        <v>#REF!</v>
      </c>
      <c r="Q1937" s="22" t="e">
        <f>(#REF!-#REF!)/#REF!</f>
        <v>#REF!</v>
      </c>
      <c r="R1937" s="22" t="e">
        <f>(#REF!-#REF!)/#REF!</f>
        <v>#REF!</v>
      </c>
      <c r="S1937" s="22" t="e">
        <f>(#REF!-#REF!)/#REF!</f>
        <v>#REF!</v>
      </c>
      <c r="T1937" s="22" t="e">
        <f>(C1937-C1695)/C1695</f>
        <v>#DIV/0!</v>
      </c>
      <c r="U1937" s="22" t="e">
        <f>(D1937-D1695)/D1695</f>
        <v>#DIV/0!</v>
      </c>
      <c r="V1937" s="22" t="e">
        <f>(E1937-E1695)/E1695</f>
        <v>#DIV/0!</v>
      </c>
      <c r="W1937" s="22" t="e">
        <f>(P1937-P1695)/P1695</f>
        <v>#REF!</v>
      </c>
      <c r="X1937" s="22" t="e">
        <f>(Q1937-Q1695)/Q1695</f>
        <v>#REF!</v>
      </c>
      <c r="Y1937" s="22" t="e">
        <f>(R1937-R1695)/R1695</f>
        <v>#REF!</v>
      </c>
      <c r="Z1937" s="22" t="e">
        <f>(S1937-S1695)/S1695</f>
        <v>#REF!</v>
      </c>
      <c r="AA1937" s="22"/>
      <c r="AB1937" s="22"/>
      <c r="AC1937" s="22"/>
    </row>
    <row r="1938" spans="16:29"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</row>
    <row r="1939" spans="16:29"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</row>
    <row r="1940" spans="16:29"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</row>
    <row r="1941" spans="16:29"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</row>
    <row r="1942" spans="16:29"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</row>
    <row r="1943" spans="16:29"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</row>
    <row r="1944" spans="16:29"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</row>
    <row r="1945" spans="16:29"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</row>
    <row r="1946" spans="16:29"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</row>
    <row r="1947" spans="16:29"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</row>
    <row r="1948" spans="16:29"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</row>
    <row r="1949" spans="16:29"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</row>
    <row r="1950" spans="16:29"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</row>
    <row r="1951" spans="16:29"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</row>
    <row r="1952" spans="16:29"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</row>
    <row r="1953" spans="16:29"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</row>
    <row r="1954" spans="16:29"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</row>
    <row r="1955" spans="16:29"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</row>
    <row r="1956" spans="16:29"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</row>
    <row r="1957" spans="16:29"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</row>
    <row r="1958" spans="16:29"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</row>
    <row r="1959" spans="16:29"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</row>
    <row r="1960" spans="16:29"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</row>
    <row r="1961" spans="16:29"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</row>
    <row r="1962" spans="16:29"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</row>
    <row r="1963" spans="16:29"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</row>
    <row r="1964" spans="16:29"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</row>
    <row r="1965" spans="16:29"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</row>
    <row r="1966" spans="16:29"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</row>
    <row r="1967" spans="16:29"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</row>
    <row r="1968" spans="16:29"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</row>
    <row r="1969" spans="16:29"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</row>
    <row r="1970" spans="16:29"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</row>
    <row r="1971" spans="16:29"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</row>
    <row r="1972" spans="16:29"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</row>
    <row r="1973" spans="16:29"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</row>
    <row r="1974" spans="16:29"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</row>
    <row r="1975" spans="16:29"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</row>
    <row r="1976" spans="16:29"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</row>
    <row r="1977" spans="16:29"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</row>
    <row r="1978" spans="16:29"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</row>
    <row r="1979" spans="16:29"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</row>
    <row r="1980" spans="16:29"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</row>
    <row r="1981" spans="16:29"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</row>
    <row r="1982" spans="16:29"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</row>
    <row r="1983" spans="16:29"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</row>
    <row r="1984" spans="16:29"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</row>
    <row r="1985" spans="16:29"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</row>
    <row r="1986" spans="16:29"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</row>
    <row r="1987" spans="16:29"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</row>
    <row r="1988" spans="16:29"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</row>
    <row r="1989" spans="16:29"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</row>
    <row r="1990" spans="16:29"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</row>
    <row r="1991" spans="16:29"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</row>
    <row r="1992" spans="16:29"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</row>
    <row r="1993" spans="16:29"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</row>
    <row r="1994" spans="16:29"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</row>
    <row r="1995" spans="16:29"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</row>
    <row r="1996" spans="16:29"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</row>
    <row r="1997" spans="16:29"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</row>
    <row r="1998" spans="16:29"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</row>
    <row r="1999" spans="16:29"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</row>
    <row r="2000" spans="16:29"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</row>
    <row r="2001" spans="16:29"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</row>
    <row r="2002" spans="16:29"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</row>
    <row r="2003" spans="16:29"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</row>
    <row r="2004" spans="16:29"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</row>
    <row r="2005" spans="16:29"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</row>
    <row r="2006" spans="16:29"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</row>
    <row r="2007" spans="16:29"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</row>
    <row r="2008" spans="16:29"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</row>
    <row r="2009" spans="16:29"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</row>
    <row r="2010" spans="16:29"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</row>
    <row r="2011" spans="16:29"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</row>
    <row r="2012" spans="16:29"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</row>
    <row r="2013" spans="16:29"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</row>
    <row r="2014" spans="16:29"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</row>
    <row r="2015" spans="16:29"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</row>
    <row r="2016" spans="16:29"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</row>
    <row r="2017" spans="16:29"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</row>
    <row r="2018" spans="16:29"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</row>
    <row r="2019" spans="16:29"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</row>
    <row r="2020" spans="16:29"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</row>
    <row r="2021" spans="16:29"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</row>
    <row r="2022" spans="16:29"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</row>
    <row r="2023" spans="16:29"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</row>
    <row r="2024" spans="16:29"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</row>
    <row r="2025" spans="16:29"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</row>
    <row r="2026" spans="16:29"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</row>
    <row r="2027" spans="16:29"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</row>
    <row r="2028" spans="16:29"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</row>
    <row r="2029" spans="16:29"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</row>
    <row r="2030" spans="16:29"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</row>
    <row r="2031" spans="16:29"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</row>
    <row r="2032" spans="16:29"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</row>
    <row r="2033" spans="16:29"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</row>
    <row r="2034" spans="16:29"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</row>
    <row r="2035" spans="16:29"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</row>
    <row r="2036" spans="16:29"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</row>
    <row r="2037" spans="16:29"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</row>
    <row r="2038" spans="16:29"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</row>
    <row r="2039" spans="16:29"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</row>
    <row r="2040" spans="16:29"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</row>
    <row r="2041" spans="16:29"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</row>
    <row r="2042" spans="16:29"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</row>
    <row r="2043" spans="16:29"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</row>
    <row r="2044" spans="16:29"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</row>
    <row r="2045" spans="16:29"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</row>
    <row r="2046" spans="16:29"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</row>
    <row r="2047" spans="16:29"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</row>
    <row r="2048" spans="16:29"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</row>
    <row r="2049" spans="16:29"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</row>
    <row r="2050" spans="16:29"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</row>
    <row r="2051" spans="16:29"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</row>
    <row r="2052" spans="16:29"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</row>
    <row r="2053" spans="16:29"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</row>
    <row r="2054" spans="16:29"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</row>
    <row r="2055" spans="16:29"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</row>
    <row r="2056" spans="16:29"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</row>
    <row r="2057" spans="16:29"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</row>
    <row r="2058" spans="16:29"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</row>
    <row r="2059" spans="16:29"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</row>
    <row r="2060" spans="16:29"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</row>
    <row r="2061" spans="16:29"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</row>
    <row r="2062" spans="16:29"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</row>
    <row r="2063" spans="16:29"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</row>
    <row r="2064" spans="16:29"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</row>
    <row r="2065" spans="16:29"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</row>
    <row r="2066" spans="16:29"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</row>
    <row r="2067" spans="16:29"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</row>
    <row r="2068" spans="16:29"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</row>
    <row r="2069" spans="16:29"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</row>
    <row r="2070" spans="16:29"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</row>
    <row r="2071" spans="16:29"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</row>
    <row r="2072" spans="16:29"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</row>
    <row r="2073" spans="16:29"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</row>
    <row r="2074" spans="16:29"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</row>
    <row r="2075" spans="16:29"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</row>
    <row r="2076" spans="16:29"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</row>
    <row r="2077" spans="16:29"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</row>
    <row r="2078" spans="16:29"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</row>
    <row r="2079" spans="16:29"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</row>
    <row r="2080" spans="16:29"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</row>
    <row r="2081" spans="16:29"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</row>
    <row r="2082" spans="16:29"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</row>
    <row r="2083" spans="16:29"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</row>
    <row r="2084" spans="16:29"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</row>
    <row r="2085" spans="16:29"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</row>
    <row r="2086" spans="16:29"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</row>
    <row r="2087" spans="16:29"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</row>
    <row r="2088" spans="16:29"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</row>
    <row r="2089" spans="16:29"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</row>
    <row r="2090" spans="16:29"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</row>
    <row r="2091" spans="16:29"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</row>
    <row r="2092" spans="16:29"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</row>
    <row r="2093" spans="16:29"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</row>
    <row r="2094" spans="16:29"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</row>
    <row r="2095" spans="16:29"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</row>
    <row r="2096" spans="16:29"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</row>
    <row r="2097" spans="16:29"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</row>
    <row r="2098" spans="16:29"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</row>
    <row r="2099" spans="16:29"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</row>
    <row r="2100" spans="16:29"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</row>
    <row r="2101" spans="16:29"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</row>
    <row r="2102" spans="16:29"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</row>
    <row r="2103" spans="16:29"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</row>
    <row r="2104" spans="16:29"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</row>
    <row r="2105" spans="16:29"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</row>
    <row r="2106" spans="16:29"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</row>
    <row r="2107" spans="16:29"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</row>
    <row r="2108" spans="16:29"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</row>
    <row r="2109" spans="16:29"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</row>
    <row r="2110" spans="16:29"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</row>
    <row r="2111" spans="16:29"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</row>
    <row r="2112" spans="16:29"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</row>
    <row r="2113" spans="16:29"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</row>
    <row r="2114" spans="16:29"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</row>
    <row r="2115" spans="16:29"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</row>
    <row r="2116" spans="16:29"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</row>
    <row r="2117" spans="16:29"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</row>
    <row r="2118" spans="16:29"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</row>
    <row r="2119" spans="16:29"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</row>
    <row r="2120" spans="16:29"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</row>
    <row r="2121" spans="16:29"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</row>
    <row r="2122" spans="16:29"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</row>
    <row r="2123" spans="16:29"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</row>
    <row r="2124" spans="16:29"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</row>
    <row r="2125" spans="16:29"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</row>
    <row r="2126" spans="16:29"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</row>
    <row r="2127" spans="16:29"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</row>
    <row r="2128" spans="16:29"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</row>
    <row r="2129" spans="16:29"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</row>
    <row r="2130" spans="16:29"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</row>
    <row r="2131" spans="16:29"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</row>
    <row r="2132" spans="16:29"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</row>
    <row r="2133" spans="16:29"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</row>
    <row r="2134" spans="16:29"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</row>
    <row r="2135" spans="16:29"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</row>
    <row r="2136" spans="16:29"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</row>
    <row r="2137" spans="16:29"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</row>
    <row r="2138" spans="16:29"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</row>
    <row r="2139" spans="16:29"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</row>
    <row r="2140" spans="16:29"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</row>
    <row r="2141" spans="16:29"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</row>
    <row r="2142" spans="16:29"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</row>
    <row r="2143" spans="16:29"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</row>
    <row r="2144" spans="16:29"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</row>
    <row r="2145" spans="16:29"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</row>
    <row r="2146" spans="16:29"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</row>
    <row r="2147" spans="16:29"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</row>
    <row r="2148" spans="16:29"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</row>
    <row r="2149" spans="16:29"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</row>
    <row r="2150" spans="16:29"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</row>
    <row r="2151" spans="16:29"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</row>
    <row r="2152" spans="16:29"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</row>
    <row r="2153" spans="16:29"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</row>
    <row r="2154" spans="16:29"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</row>
    <row r="2155" spans="16:29"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</row>
    <row r="2156" spans="16:29"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</row>
    <row r="2157" spans="16:29"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</row>
    <row r="2158" spans="16:29"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</row>
    <row r="2159" spans="16:29"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</row>
    <row r="2160" spans="16:29"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</row>
    <row r="2161" spans="16:29"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</row>
    <row r="2162" spans="16:29"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</row>
    <row r="2163" spans="16:29"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</row>
    <row r="2164" spans="16:29"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</row>
    <row r="2165" spans="16:29"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</row>
    <row r="2166" spans="16:29"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</row>
    <row r="2167" spans="16:29"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</row>
    <row r="2168" spans="16:29"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</row>
    <row r="2169" spans="16:29"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</row>
    <row r="2170" spans="16:29"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</row>
    <row r="2171" spans="16:29"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</row>
    <row r="2172" spans="16:29"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</row>
    <row r="2173" spans="16:29"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</row>
    <row r="2174" spans="16:29"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</row>
    <row r="2175" spans="16:29"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</row>
    <row r="2176" spans="16:29"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</row>
    <row r="2177" spans="16:29">
      <c r="P2177" s="22" t="e">
        <f>(#REF!-#REF!)/#REF!</f>
        <v>#REF!</v>
      </c>
      <c r="Q2177" s="22" t="e">
        <f>(#REF!-#REF!)/#REF!</f>
        <v>#REF!</v>
      </c>
      <c r="R2177" s="22" t="e">
        <f>(#REF!-#REF!)/#REF!</f>
        <v>#REF!</v>
      </c>
      <c r="S2177" s="22" t="e">
        <f>(#REF!-#REF!)/#REF!</f>
        <v>#REF!</v>
      </c>
      <c r="T2177" s="22" t="e">
        <f>(C2177-C1937)/C1937</f>
        <v>#DIV/0!</v>
      </c>
      <c r="U2177" s="22" t="e">
        <f>(D2177-D1937)/D1937</f>
        <v>#DIV/0!</v>
      </c>
      <c r="V2177" s="22" t="e">
        <f>(E2177-E1937)/E1937</f>
        <v>#DIV/0!</v>
      </c>
      <c r="W2177" s="22" t="e">
        <f>(P2177-P1937)/P1937</f>
        <v>#REF!</v>
      </c>
      <c r="X2177" s="22" t="e">
        <f>(Q2177-Q1937)/Q1937</f>
        <v>#REF!</v>
      </c>
      <c r="Y2177" s="22" t="e">
        <f>(R2177-R1937)/R1937</f>
        <v>#REF!</v>
      </c>
      <c r="Z2177" s="22" t="e">
        <f>(S2177-S1937)/S1937</f>
        <v>#REF!</v>
      </c>
      <c r="AA2177" s="22"/>
      <c r="AB2177" s="22"/>
      <c r="AC2177" s="22"/>
    </row>
    <row r="2178" spans="16:29"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</row>
    <row r="2179" spans="16:29"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</row>
    <row r="2180" spans="16:29"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</row>
    <row r="2181" spans="16:29"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</row>
    <row r="2182" spans="16:29"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</row>
    <row r="2183" spans="16:29"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</row>
    <row r="2184" spans="16:29"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</row>
    <row r="2185" spans="16:29"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</row>
    <row r="2186" spans="16:29"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</row>
    <row r="2187" spans="16:29"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</row>
    <row r="2188" spans="16:29"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</row>
    <row r="2189" spans="16:29"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</row>
    <row r="2190" spans="16:29"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</row>
    <row r="2191" spans="16:29"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</row>
    <row r="2192" spans="16:29"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</row>
    <row r="2193" spans="16:29"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</row>
    <row r="2194" spans="16:29"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</row>
    <row r="2195" spans="16:29"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</row>
    <row r="2196" spans="16:29"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</row>
    <row r="2197" spans="16:29"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</row>
    <row r="2198" spans="16:29"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</row>
    <row r="2199" spans="16:29"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</row>
    <row r="2200" spans="16:29"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</row>
    <row r="2201" spans="16:29"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</row>
    <row r="2202" spans="16:29"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</row>
    <row r="2203" spans="16:29"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</row>
    <row r="2204" spans="16:29"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</row>
    <row r="2205" spans="16:29"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</row>
    <row r="2206" spans="16:29"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</row>
    <row r="2207" spans="16:29"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</row>
    <row r="2208" spans="16:29"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</row>
    <row r="2209" spans="16:29"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</row>
    <row r="2210" spans="16:29"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</row>
    <row r="2211" spans="16:29"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9"/>
      <c r="AC2211" s="9"/>
    </row>
    <row r="2212" spans="16:29"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</row>
    <row r="2213" spans="16:29"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</row>
    <row r="2214" spans="16:29"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</row>
    <row r="2215" spans="16:29"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</row>
    <row r="2216" spans="16:29"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</row>
    <row r="2217" spans="16:29"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</row>
    <row r="2218" spans="16:29"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</row>
    <row r="2219" spans="16:29"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</row>
    <row r="2220" spans="16:29"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</row>
    <row r="2221" spans="16:29"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</row>
    <row r="2222" spans="16:29"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</row>
    <row r="2223" spans="16:29"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</row>
    <row r="2224" spans="16:29"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</row>
    <row r="2225" spans="16:29"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</row>
    <row r="2226" spans="16:29"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</row>
    <row r="2227" spans="16:29"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</row>
    <row r="2228" spans="16:29"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</row>
    <row r="2229" spans="16:29"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</row>
    <row r="2230" spans="16:29"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</row>
    <row r="2231" spans="16:29"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</row>
    <row r="2232" spans="16:29"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</row>
    <row r="2233" spans="16:29"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</row>
    <row r="2234" spans="16:29"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</row>
    <row r="2235" spans="16:29"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</row>
    <row r="2236" spans="16:29"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</row>
    <row r="2237" spans="16:29"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</row>
    <row r="2238" spans="16:29"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</row>
    <row r="2239" spans="16:29"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</row>
    <row r="2240" spans="16:29"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</row>
    <row r="2241" spans="16:29"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</row>
    <row r="2242" spans="16:29"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</row>
    <row r="2243" spans="16:29"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</row>
    <row r="2244" spans="16:29"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</row>
    <row r="2245" spans="16:29"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</row>
    <row r="2246" spans="16:29"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</row>
    <row r="2247" spans="16:29"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</row>
    <row r="2248" spans="16:29"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</row>
    <row r="2249" spans="16:29"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</row>
    <row r="2250" spans="16:29"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</row>
    <row r="2251" spans="16:29"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</row>
    <row r="2252" spans="16:29"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</row>
    <row r="2253" spans="16:29"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</row>
    <row r="2254" spans="16:29"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</row>
    <row r="2255" spans="16:29"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</row>
    <row r="2256" spans="16:29"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</row>
    <row r="2257" spans="16:29"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</row>
    <row r="2258" spans="16:29"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</row>
    <row r="2259" spans="16:29"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</row>
    <row r="2260" spans="16:29"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</row>
    <row r="2261" spans="16:29"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</row>
    <row r="2262" spans="16:29"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</row>
    <row r="2263" spans="16:29"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</row>
    <row r="2264" spans="16:29"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</row>
    <row r="2265" spans="16:29"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</row>
    <row r="2266" spans="16:29"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</row>
    <row r="2267" spans="16:29"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</row>
    <row r="2268" spans="16:29"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</row>
    <row r="2269" spans="16:29"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</row>
    <row r="2270" spans="16:29"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</row>
    <row r="2271" spans="16:29"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</row>
    <row r="2272" spans="16:29"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</row>
    <row r="2273" spans="16:29"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</row>
    <row r="2274" spans="16:29"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</row>
    <row r="2275" spans="16:29"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</row>
    <row r="2276" spans="16:29"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</row>
    <row r="2277" spans="16:29"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</row>
    <row r="2278" spans="16:29"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</row>
    <row r="2279" spans="16:29"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</row>
    <row r="2280" spans="16:29"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</row>
    <row r="2281" spans="16:29"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</row>
    <row r="2282" spans="16:29"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</row>
    <row r="2283" spans="16:29"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</row>
    <row r="2284" spans="16:29"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  <c r="AB2284" s="9"/>
      <c r="AC2284" s="9"/>
    </row>
    <row r="2285" spans="16:29"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</row>
    <row r="2286" spans="16:29"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</row>
    <row r="2287" spans="16:29"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</row>
    <row r="2288" spans="16:29"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</row>
    <row r="2289" spans="16:29"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</row>
    <row r="2290" spans="16:29"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</row>
    <row r="2291" spans="16:29"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</row>
    <row r="2292" spans="16:29"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</row>
    <row r="2293" spans="16:29"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</row>
    <row r="2294" spans="16:29"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</row>
    <row r="2295" spans="16:29"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</row>
    <row r="2296" spans="16:29"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</row>
    <row r="2297" spans="16:29"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</row>
    <row r="2298" spans="16:29"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</row>
    <row r="2299" spans="16:29"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</row>
    <row r="2300" spans="16:29"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</row>
    <row r="2301" spans="16:29"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</row>
    <row r="2302" spans="16:29"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</row>
    <row r="2303" spans="16:29"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</row>
    <row r="2304" spans="16:29"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</row>
    <row r="2305" spans="16:29"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</row>
    <row r="2306" spans="16:29"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</row>
    <row r="2307" spans="16:29"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</row>
    <row r="2308" spans="16:29"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</row>
    <row r="2309" spans="16:29"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</row>
    <row r="2310" spans="16:29"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</row>
    <row r="2311" spans="16:29"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</row>
    <row r="2312" spans="16:29"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</row>
    <row r="2313" spans="16:29"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</row>
    <row r="2314" spans="16:29"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</row>
    <row r="2315" spans="16:29"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</row>
    <row r="2316" spans="16:29"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</row>
    <row r="2317" spans="16:29"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</row>
    <row r="2318" spans="16:29"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</row>
    <row r="2319" spans="16:29"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</row>
    <row r="2320" spans="16:29"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</row>
    <row r="2321" spans="16:29"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</row>
    <row r="2322" spans="16:29"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</row>
    <row r="2323" spans="16:29"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</row>
    <row r="2324" spans="16:29"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</row>
    <row r="2325" spans="16:29"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</row>
    <row r="2326" spans="16:29"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</row>
    <row r="2327" spans="16:29"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</row>
    <row r="2328" spans="16:29"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</row>
    <row r="2329" spans="16:29"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</row>
    <row r="2330" spans="16:29"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</row>
    <row r="2331" spans="16:29"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</row>
    <row r="2332" spans="16:29"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</row>
    <row r="2333" spans="16:29"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</row>
    <row r="2334" spans="16:29"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</row>
    <row r="2335" spans="16:29"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</row>
    <row r="2336" spans="16:29"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</row>
    <row r="2337" spans="16:29"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</row>
    <row r="2338" spans="16:29"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</row>
    <row r="2339" spans="16:29"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</row>
    <row r="2340" spans="16:29"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</row>
    <row r="2341" spans="16:29"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</row>
    <row r="2342" spans="16:29"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</row>
    <row r="2343" spans="16:29"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</row>
    <row r="2344" spans="16:29"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</row>
    <row r="2345" spans="16:29"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</row>
    <row r="2346" spans="16:29"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</row>
    <row r="2347" spans="16:29"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</row>
    <row r="2348" spans="16:29"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</row>
    <row r="2349" spans="16:29"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</row>
    <row r="2350" spans="16:29"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</row>
    <row r="2351" spans="16:29"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</row>
    <row r="2352" spans="16:29"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</row>
    <row r="2353" spans="16:29"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</row>
    <row r="2354" spans="16:29"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</row>
    <row r="2355" spans="16:29"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</row>
    <row r="2356" spans="16:29"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</row>
    <row r="2357" spans="16:29"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</row>
    <row r="2358" spans="16:29"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</row>
    <row r="2359" spans="16:29"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</row>
    <row r="2360" spans="16:29"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</row>
    <row r="2361" spans="16:29"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</row>
    <row r="2362" spans="16:29"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</row>
    <row r="2363" spans="16:29"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</row>
    <row r="2364" spans="16:29"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</row>
    <row r="2365" spans="16:29"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</row>
    <row r="2366" spans="16:29"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</row>
    <row r="2367" spans="16:29"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</row>
    <row r="2368" spans="16:29"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</row>
    <row r="2369" spans="16:29"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</row>
    <row r="2370" spans="16:29"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</row>
    <row r="2371" spans="16:29"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</row>
    <row r="2372" spans="16:29"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</row>
    <row r="2373" spans="16:29"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</row>
    <row r="2374" spans="16:29"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</row>
    <row r="2375" spans="16:29"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</row>
    <row r="2376" spans="16:29"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</row>
    <row r="2377" spans="16:29"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</row>
    <row r="2378" spans="16:29"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</row>
    <row r="2379" spans="16:29"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</row>
    <row r="2380" spans="16:29"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</row>
    <row r="2381" spans="16:29"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</row>
    <row r="2382" spans="16:29"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</row>
    <row r="2383" spans="16:29"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</row>
    <row r="2384" spans="16:29"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</row>
    <row r="2385" spans="16:29"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</row>
    <row r="2386" spans="16:29"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</row>
    <row r="2387" spans="16:29"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</row>
    <row r="2388" spans="16:29"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</row>
    <row r="2389" spans="16:29"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9"/>
    </row>
    <row r="2390" spans="16:29"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</row>
    <row r="2391" spans="16:29"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</row>
    <row r="2392" spans="16:29"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</row>
    <row r="2393" spans="16:29"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9"/>
    </row>
    <row r="2394" spans="16:29"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9"/>
    </row>
    <row r="2395" spans="16:29"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9"/>
    </row>
    <row r="2396" spans="16:29"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</row>
    <row r="2397" spans="16:29"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</row>
    <row r="2398" spans="16:29"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</row>
    <row r="2399" spans="16:29"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9"/>
    </row>
    <row r="2400" spans="16:29"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</row>
    <row r="2401" spans="16:29"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</row>
    <row r="2402" spans="16:29"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</row>
    <row r="2403" spans="16:29"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9"/>
    </row>
    <row r="2404" spans="16:29"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</row>
    <row r="2405" spans="16:29"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</row>
    <row r="2406" spans="16:29"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</row>
    <row r="2407" spans="16:29"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9"/>
    </row>
    <row r="2408" spans="16:29"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9"/>
    </row>
    <row r="2409" spans="16:29"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9"/>
    </row>
    <row r="2410" spans="16:29"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</row>
    <row r="2411" spans="16:29"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</row>
    <row r="2412" spans="16:29"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</row>
    <row r="2413" spans="16:29"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9"/>
    </row>
    <row r="2414" spans="16:29"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</row>
    <row r="2415" spans="16:29"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</row>
    <row r="2416" spans="16:29"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</row>
    <row r="2417" spans="16:29"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</row>
    <row r="2418" spans="16:29">
      <c r="P2418" s="22" t="e">
        <f>(#REF!-#REF!)/#REF!</f>
        <v>#REF!</v>
      </c>
      <c r="Q2418" s="22" t="e">
        <f>(#REF!-#REF!)/#REF!</f>
        <v>#REF!</v>
      </c>
      <c r="R2418" s="22" t="e">
        <f>(#REF!-#REF!)/#REF!</f>
        <v>#REF!</v>
      </c>
      <c r="S2418" s="22" t="e">
        <f>(#REF!-#REF!)/#REF!</f>
        <v>#REF!</v>
      </c>
      <c r="T2418" s="22" t="e">
        <f>(C2418-C2177)/C2177</f>
        <v>#DIV/0!</v>
      </c>
      <c r="U2418" s="22" t="e">
        <f>(D2418-D2177)/D2177</f>
        <v>#DIV/0!</v>
      </c>
      <c r="V2418" s="22" t="e">
        <f>(E2418-E2177)/E2177</f>
        <v>#DIV/0!</v>
      </c>
      <c r="W2418" s="22" t="e">
        <f>(P2418-P2177)/P2177</f>
        <v>#REF!</v>
      </c>
      <c r="X2418" s="22" t="e">
        <f>(Q2418-Q2177)/Q2177</f>
        <v>#REF!</v>
      </c>
      <c r="Y2418" s="22" t="e">
        <f>(R2418-R2177)/R2177</f>
        <v>#REF!</v>
      </c>
      <c r="Z2418" s="22" t="e">
        <f>(S2418-S2177)/S2177</f>
        <v>#REF!</v>
      </c>
      <c r="AA2418" s="22"/>
      <c r="AB2418" s="22"/>
      <c r="AC2418" s="22"/>
    </row>
  </sheetData>
  <sortState ref="A1:BM2418">
    <sortCondition ref="AB1:AB2418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主要指数介绍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李芯杰</dc:creator>
  <cp:lastModifiedBy>李芯杰</cp:lastModifiedBy>
  <dcterms:created xsi:type="dcterms:W3CDTF">2025-12-28T13:53:00Z</dcterms:created>
  <dcterms:modified xsi:type="dcterms:W3CDTF">2026-04-18T08:29:57Z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BC10A03317FA44D0A53F91E97975994A_13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