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tabRatio="943" firstSheet="1" activeTab="4"/>
  </bookViews>
  <sheets>
    <sheet name="中证红利" sheetId="5" r:id="rId1"/>
    <sheet name="红利200" sheetId="6" r:id="rId2"/>
    <sheet name="300红利" sheetId="8" r:id="rId3"/>
    <sheet name="500红利" sheetId="9" r:id="rId4"/>
    <sheet name="1000红利" sheetId="10" r:id="rId5"/>
    <sheet name="A500红利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<sst xmlns="http://schemas.openxmlformats.org/spreadsheetml/2006/main" count="65" uniqueCount="25">
  <si>
    <t>指数代码</t>
  </si>
  <si>
    <t>指数中文全称</t>
  </si>
  <si>
    <t>指数中文简称</t>
  </si>
  <si>
    <t>年份</t>
  </si>
  <si>
    <t>本年收益率</t>
  </si>
  <si>
    <t>本年波动率</t>
  </si>
  <si>
    <t>无风险利率</t>
  </si>
  <si>
    <t>本年夏普比率</t>
  </si>
  <si>
    <t>000922</t>
  </si>
  <si>
    <t>中证红利指数</t>
  </si>
  <si>
    <t>中证红利</t>
  </si>
  <si>
    <t>932308</t>
  </si>
  <si>
    <t>中证红利200指数</t>
  </si>
  <si>
    <t>红利200</t>
  </si>
  <si>
    <t>000821</t>
  </si>
  <si>
    <t>沪深300红利指数</t>
  </si>
  <si>
    <t>300红利</t>
  </si>
  <si>
    <t>000822</t>
  </si>
  <si>
    <t>中证500红利指数</t>
  </si>
  <si>
    <t>500红利</t>
  </si>
  <si>
    <t>中证1000红利指数</t>
  </si>
  <si>
    <t>1000红利</t>
  </si>
  <si>
    <t>932154</t>
  </si>
  <si>
    <t>中证A500红利指数</t>
  </si>
  <si>
    <t>A500红利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</si>
</sst>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10" fontId="0" fillId="0" borderId="0" xfId="0" applyNumberFormat="1" applyFont="1" applyAlignment="1">
      <alignment horizontal="left" vertical="center"/>
    </xf>
    <xf numFmtId="9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0" fontId="1" fillId="0" borderId="0" xfId="0" applyNumberFormat="1" applyFont="1" applyFill="1" applyAlignment="1">
      <alignment horizontal="left" vertical="center"/>
    </xf>
    <xf numFmtId="0" fontId="0" fillId="0" borderId="0" xfId="0" applyFont="1" applyAlignment="1" quotePrefix="1">
      <alignment horizontal="left" vertical="center"/>
    </xf>
    <xf numFmtId="0" fontId="0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K14" sqref="K14"/>
    </sheetView>
  </sheetViews>
  <sheetFormatPr defaultColWidth="9" defaultRowHeight="13.5" outlineLevelCol="7"/>
  <cols>
    <col min="1" max="1" width="9.24778761061947" style="1" customWidth="1"/>
    <col min="2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1">
        <v>2005</v>
      </c>
      <c r="E2" s="4">
        <v>-0.1095</v>
      </c>
      <c r="F2" s="4">
        <v>0.1977</v>
      </c>
      <c r="G2" s="5">
        <v>0.03</v>
      </c>
      <c r="H2" s="2">
        <f t="shared" ref="H2:H22" si="0">(E2-G2)/F2</f>
        <v>-0.705614567526555</v>
      </c>
    </row>
    <row r="3" spans="1:8">
      <c r="A3" s="3"/>
      <c r="B3" s="3"/>
      <c r="C3" s="3"/>
      <c r="D3" s="1">
        <v>2006</v>
      </c>
      <c r="E3" s="4">
        <v>0.9806</v>
      </c>
      <c r="F3" s="4">
        <v>0.213</v>
      </c>
      <c r="G3" s="5">
        <v>0.03</v>
      </c>
      <c r="H3" s="2">
        <f t="shared" si="0"/>
        <v>4.46291079812207</v>
      </c>
    </row>
    <row r="4" spans="1:8">
      <c r="A4" s="3"/>
      <c r="B4" s="3"/>
      <c r="C4" s="3"/>
      <c r="D4" s="1">
        <v>2007</v>
      </c>
      <c r="E4" s="4">
        <v>1.8933</v>
      </c>
      <c r="F4" s="4">
        <v>0.412</v>
      </c>
      <c r="G4" s="5">
        <v>0.03</v>
      </c>
      <c r="H4" s="2">
        <f t="shared" si="0"/>
        <v>4.52257281553398</v>
      </c>
    </row>
    <row r="5" spans="1:8">
      <c r="A5" s="3"/>
      <c r="B5" s="3"/>
      <c r="C5" s="3"/>
      <c r="D5" s="1">
        <v>2008</v>
      </c>
      <c r="E5" s="4">
        <v>-0.6647</v>
      </c>
      <c r="F5" s="4">
        <v>0.4823</v>
      </c>
      <c r="G5" s="5">
        <v>0.03</v>
      </c>
      <c r="H5" s="2">
        <f t="shared" si="0"/>
        <v>-1.44038979888036</v>
      </c>
    </row>
    <row r="6" spans="1:8">
      <c r="A6" s="3"/>
      <c r="B6" s="3"/>
      <c r="C6" s="3"/>
      <c r="D6" s="1">
        <v>2009</v>
      </c>
      <c r="E6" s="4">
        <v>1.0842</v>
      </c>
      <c r="F6" s="4">
        <v>0.3622</v>
      </c>
      <c r="G6" s="5">
        <v>0.03</v>
      </c>
      <c r="H6" s="2">
        <f t="shared" si="0"/>
        <v>2.91054665930425</v>
      </c>
    </row>
    <row r="7" spans="1:8">
      <c r="A7" s="3"/>
      <c r="B7" s="3"/>
      <c r="C7" s="3"/>
      <c r="D7" s="1">
        <v>2010</v>
      </c>
      <c r="E7" s="4">
        <v>-0.1328</v>
      </c>
      <c r="F7" s="4">
        <v>0.2387</v>
      </c>
      <c r="G7" s="5">
        <v>0.03</v>
      </c>
      <c r="H7" s="2">
        <f t="shared" si="0"/>
        <v>-0.682027649769585</v>
      </c>
    </row>
    <row r="8" spans="1:8">
      <c r="A8" s="3"/>
      <c r="B8" s="3"/>
      <c r="C8" s="3"/>
      <c r="D8" s="1">
        <v>2011</v>
      </c>
      <c r="E8" s="4">
        <v>-0.2357</v>
      </c>
      <c r="F8" s="4">
        <v>0.1953</v>
      </c>
      <c r="G8" s="5">
        <v>0.03</v>
      </c>
      <c r="H8" s="2">
        <f t="shared" si="0"/>
        <v>-1.36047107014849</v>
      </c>
    </row>
    <row r="9" spans="1:8">
      <c r="A9" s="3"/>
      <c r="B9" s="3"/>
      <c r="C9" s="3"/>
      <c r="D9" s="1">
        <v>2012</v>
      </c>
      <c r="E9" s="4">
        <v>0.0706</v>
      </c>
      <c r="F9" s="4">
        <v>0.1891</v>
      </c>
      <c r="G9" s="5">
        <v>0.03</v>
      </c>
      <c r="H9" s="2">
        <f t="shared" si="0"/>
        <v>0.214701216287678</v>
      </c>
    </row>
    <row r="10" spans="1:8">
      <c r="A10" s="3"/>
      <c r="B10" s="3"/>
      <c r="C10" s="3"/>
      <c r="D10" s="1">
        <v>2013</v>
      </c>
      <c r="E10" s="4">
        <v>-0.1015</v>
      </c>
      <c r="F10" s="4">
        <v>0.2308</v>
      </c>
      <c r="G10" s="5">
        <v>0.03</v>
      </c>
      <c r="H10" s="2">
        <f t="shared" si="0"/>
        <v>-0.569757365684575</v>
      </c>
    </row>
    <row r="11" spans="1:8">
      <c r="A11" s="3"/>
      <c r="B11" s="3"/>
      <c r="C11" s="3"/>
      <c r="D11" s="1">
        <v>2014</v>
      </c>
      <c r="E11" s="4">
        <v>0.5168</v>
      </c>
      <c r="F11" s="4">
        <v>0.1785</v>
      </c>
      <c r="G11" s="5">
        <v>0.03</v>
      </c>
      <c r="H11" s="2">
        <f t="shared" si="0"/>
        <v>2.72717086834734</v>
      </c>
    </row>
    <row r="12" spans="1:8">
      <c r="A12" s="3"/>
      <c r="B12" s="3"/>
      <c r="C12" s="3"/>
      <c r="D12" s="1">
        <v>2015</v>
      </c>
      <c r="E12" s="4">
        <v>0.2686</v>
      </c>
      <c r="F12" s="4">
        <v>0.4165</v>
      </c>
      <c r="G12" s="5">
        <v>0.03</v>
      </c>
      <c r="H12" s="2">
        <f t="shared" si="0"/>
        <v>0.572869147659064</v>
      </c>
    </row>
    <row r="13" spans="1:8">
      <c r="A13" s="3"/>
      <c r="B13" s="3"/>
      <c r="C13" s="3"/>
      <c r="D13" s="1">
        <v>2016</v>
      </c>
      <c r="E13" s="4">
        <v>-0.0764</v>
      </c>
      <c r="F13" s="4">
        <v>0.2142</v>
      </c>
      <c r="G13" s="5">
        <v>0.03</v>
      </c>
      <c r="H13" s="2">
        <f t="shared" si="0"/>
        <v>-0.496732026143791</v>
      </c>
    </row>
    <row r="14" spans="1:8">
      <c r="A14" s="3"/>
      <c r="B14" s="3"/>
      <c r="C14" s="3"/>
      <c r="D14" s="1">
        <v>2017</v>
      </c>
      <c r="E14" s="4">
        <v>0.1757</v>
      </c>
      <c r="F14" s="4">
        <v>0.0918</v>
      </c>
      <c r="G14" s="5">
        <v>0.03</v>
      </c>
      <c r="H14" s="2">
        <f t="shared" si="0"/>
        <v>1.58714596949891</v>
      </c>
    </row>
    <row r="15" spans="1:8">
      <c r="A15" s="3"/>
      <c r="B15" s="3"/>
      <c r="C15" s="3"/>
      <c r="D15" s="1">
        <v>2018</v>
      </c>
      <c r="E15" s="4">
        <v>-0.1924</v>
      </c>
      <c r="F15" s="4">
        <v>0.1891</v>
      </c>
      <c r="G15" s="5">
        <v>0.03</v>
      </c>
      <c r="H15" s="2">
        <f t="shared" si="0"/>
        <v>-1.17609730301428</v>
      </c>
    </row>
    <row r="16" spans="1:8">
      <c r="A16" s="3"/>
      <c r="B16" s="3"/>
      <c r="C16" s="3"/>
      <c r="D16" s="1">
        <v>2019</v>
      </c>
      <c r="E16" s="4">
        <v>0.1573</v>
      </c>
      <c r="F16" s="4">
        <v>0.1754</v>
      </c>
      <c r="G16" s="5">
        <v>0.03</v>
      </c>
      <c r="H16" s="2">
        <f t="shared" si="0"/>
        <v>0.725769669327252</v>
      </c>
    </row>
    <row r="17" spans="1:8">
      <c r="A17" s="3"/>
      <c r="B17" s="3"/>
      <c r="C17" s="3"/>
      <c r="D17" s="1">
        <v>2020</v>
      </c>
      <c r="E17" s="4">
        <v>0.0349</v>
      </c>
      <c r="F17" s="4">
        <v>0.2086</v>
      </c>
      <c r="G17" s="5">
        <v>0.03</v>
      </c>
      <c r="H17" s="2">
        <f t="shared" si="0"/>
        <v>0.023489932885906</v>
      </c>
    </row>
    <row r="18" spans="1:8">
      <c r="A18" s="3"/>
      <c r="B18" s="3"/>
      <c r="C18" s="3"/>
      <c r="D18" s="1">
        <v>2021</v>
      </c>
      <c r="E18" s="4">
        <v>0.1337</v>
      </c>
      <c r="F18" s="4">
        <v>0.1609</v>
      </c>
      <c r="G18" s="5">
        <v>0.03</v>
      </c>
      <c r="H18" s="2">
        <f t="shared" si="0"/>
        <v>0.64449968924798</v>
      </c>
    </row>
    <row r="19" spans="1:8">
      <c r="A19" s="3"/>
      <c r="B19" s="3"/>
      <c r="C19" s="3"/>
      <c r="D19" s="1">
        <v>2022</v>
      </c>
      <c r="E19" s="4">
        <v>-0.0545</v>
      </c>
      <c r="F19" s="4">
        <v>0.2008</v>
      </c>
      <c r="G19" s="5">
        <v>0.03</v>
      </c>
      <c r="H19" s="2">
        <f t="shared" si="0"/>
        <v>-0.420816733067729</v>
      </c>
    </row>
    <row r="20" spans="1:8">
      <c r="A20" s="3"/>
      <c r="B20" s="3"/>
      <c r="C20" s="3"/>
      <c r="D20" s="1">
        <v>2023</v>
      </c>
      <c r="E20" s="4">
        <v>0.0089</v>
      </c>
      <c r="F20" s="4">
        <v>0.1091</v>
      </c>
      <c r="G20" s="5">
        <v>0.03</v>
      </c>
      <c r="H20" s="2">
        <f t="shared" si="0"/>
        <v>-0.19340054995417</v>
      </c>
    </row>
    <row r="21" spans="1:8">
      <c r="A21" s="3"/>
      <c r="B21" s="3"/>
      <c r="C21" s="3"/>
      <c r="D21" s="1">
        <v>2024</v>
      </c>
      <c r="E21" s="4">
        <v>0.1231</v>
      </c>
      <c r="F21" s="4">
        <v>0.1891</v>
      </c>
      <c r="G21" s="5">
        <v>0.03</v>
      </c>
      <c r="H21" s="2">
        <f t="shared" si="0"/>
        <v>0.492332099418297</v>
      </c>
    </row>
    <row r="22" spans="1:8">
      <c r="A22" s="3"/>
      <c r="B22" s="3"/>
      <c r="C22" s="3"/>
      <c r="D22" s="1">
        <v>2025</v>
      </c>
      <c r="E22" s="4">
        <v>-0.0139</v>
      </c>
      <c r="F22" s="4">
        <v>0.1203</v>
      </c>
      <c r="G22" s="5">
        <v>0.03</v>
      </c>
      <c r="H22" s="2">
        <f t="shared" si="0"/>
        <v>-0.364921030756442</v>
      </c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H2" sqref="H2"/>
    </sheetView>
  </sheetViews>
  <sheetFormatPr defaultColWidth="9.02654867256637" defaultRowHeight="13.5" outlineLevelCol="7"/>
  <cols>
    <col min="1" max="1" width="9.24778761061947" style="1" customWidth="1"/>
    <col min="2" max="2" width="16.8318584070796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11</v>
      </c>
      <c r="B2" s="3" t="s">
        <v>12</v>
      </c>
      <c r="C2" s="3" t="s">
        <v>13</v>
      </c>
      <c r="D2" s="1">
        <v>2014</v>
      </c>
      <c r="E2" s="4">
        <v>0.4993</v>
      </c>
      <c r="F2" s="4">
        <v>0.1782</v>
      </c>
      <c r="G2" s="5">
        <v>0.03</v>
      </c>
      <c r="H2" s="2">
        <f>(E2-G2)/F2</f>
        <v>2.63355780022447</v>
      </c>
    </row>
    <row r="3" spans="1:8">
      <c r="A3" s="3"/>
      <c r="B3" s="3"/>
      <c r="C3" s="3"/>
      <c r="D3" s="1">
        <v>2015</v>
      </c>
      <c r="E3" s="4">
        <v>0.259</v>
      </c>
      <c r="F3" s="4">
        <v>0.4071</v>
      </c>
      <c r="G3" s="5">
        <v>0.03</v>
      </c>
      <c r="H3" s="2">
        <f t="shared" ref="H2:H13" si="0">(E3-G3)/F3</f>
        <v>0.562515352493245</v>
      </c>
    </row>
    <row r="4" spans="1:8">
      <c r="A4" s="3"/>
      <c r="B4" s="3"/>
      <c r="C4" s="3"/>
      <c r="D4" s="1">
        <v>2016</v>
      </c>
      <c r="E4" s="4">
        <v>-0.1079</v>
      </c>
      <c r="F4" s="4">
        <v>0.2302</v>
      </c>
      <c r="G4" s="5">
        <v>0.03</v>
      </c>
      <c r="H4" s="2">
        <f t="shared" si="0"/>
        <v>-0.599044309296264</v>
      </c>
    </row>
    <row r="5" spans="1:8">
      <c r="A5" s="3"/>
      <c r="B5" s="3"/>
      <c r="C5" s="3"/>
      <c r="D5" s="1">
        <v>2017</v>
      </c>
      <c r="E5" s="4">
        <v>0.153</v>
      </c>
      <c r="F5" s="4">
        <v>0.0954</v>
      </c>
      <c r="G5" s="5">
        <v>0.03</v>
      </c>
      <c r="H5" s="2">
        <f t="shared" si="0"/>
        <v>1.28930817610063</v>
      </c>
    </row>
    <row r="6" spans="1:8">
      <c r="A6" s="3"/>
      <c r="B6" s="3"/>
      <c r="C6" s="3"/>
      <c r="D6" s="1">
        <v>2018</v>
      </c>
      <c r="E6" s="4">
        <v>-0.2165</v>
      </c>
      <c r="F6" s="4">
        <v>0.196</v>
      </c>
      <c r="G6" s="5">
        <v>0.03</v>
      </c>
      <c r="H6" s="2">
        <f t="shared" si="0"/>
        <v>-1.25765306122449</v>
      </c>
    </row>
    <row r="7" spans="1:8">
      <c r="A7" s="3"/>
      <c r="B7" s="3"/>
      <c r="C7" s="3"/>
      <c r="D7" s="1">
        <v>2019</v>
      </c>
      <c r="E7" s="4">
        <v>0.2301</v>
      </c>
      <c r="F7" s="4">
        <v>0.182</v>
      </c>
      <c r="G7" s="5">
        <v>0.03</v>
      </c>
      <c r="H7" s="2">
        <f t="shared" si="0"/>
        <v>1.09945054945055</v>
      </c>
    </row>
    <row r="8" spans="1:8">
      <c r="A8" s="3"/>
      <c r="B8" s="3"/>
      <c r="C8" s="3"/>
      <c r="D8" s="1">
        <v>2020</v>
      </c>
      <c r="E8" s="4">
        <v>0.0746</v>
      </c>
      <c r="F8" s="4">
        <v>0.2059</v>
      </c>
      <c r="G8" s="5">
        <v>0.03</v>
      </c>
      <c r="H8" s="2">
        <f t="shared" si="0"/>
        <v>0.216610004856727</v>
      </c>
    </row>
    <row r="9" spans="1:8">
      <c r="A9" s="3"/>
      <c r="B9" s="3"/>
      <c r="C9" s="3"/>
      <c r="D9" s="1">
        <v>2021</v>
      </c>
      <c r="E9" s="4">
        <v>0.0982</v>
      </c>
      <c r="F9" s="4">
        <v>0.1497</v>
      </c>
      <c r="G9" s="5">
        <v>0.03</v>
      </c>
      <c r="H9" s="2">
        <f t="shared" si="0"/>
        <v>0.455577822311289</v>
      </c>
    </row>
    <row r="10" spans="1:8">
      <c r="A10" s="3"/>
      <c r="B10" s="3"/>
      <c r="C10" s="3"/>
      <c r="D10" s="1">
        <v>2022</v>
      </c>
      <c r="E10" s="4">
        <v>-0.1031</v>
      </c>
      <c r="F10" s="4">
        <v>0.1971</v>
      </c>
      <c r="G10" s="5">
        <v>0.03</v>
      </c>
      <c r="H10" s="2">
        <f t="shared" si="0"/>
        <v>-0.675291730086251</v>
      </c>
    </row>
    <row r="11" spans="1:8">
      <c r="A11" s="3"/>
      <c r="B11" s="3"/>
      <c r="C11" s="3"/>
      <c r="D11" s="1">
        <v>2023</v>
      </c>
      <c r="E11" s="4">
        <v>-0.0024</v>
      </c>
      <c r="F11" s="4">
        <v>0.1093</v>
      </c>
      <c r="G11" s="5">
        <v>0.03</v>
      </c>
      <c r="H11" s="2">
        <f t="shared" si="0"/>
        <v>-0.296431838975297</v>
      </c>
    </row>
    <row r="12" spans="1:8">
      <c r="A12" s="3"/>
      <c r="B12" s="3"/>
      <c r="C12" s="3"/>
      <c r="D12" s="1">
        <v>2024</v>
      </c>
      <c r="E12" s="4">
        <v>0.1368</v>
      </c>
      <c r="F12" s="4">
        <v>0.1927</v>
      </c>
      <c r="G12" s="5">
        <v>0.03</v>
      </c>
      <c r="H12" s="2">
        <f t="shared" si="0"/>
        <v>0.554229372080955</v>
      </c>
    </row>
    <row r="13" spans="1:8">
      <c r="A13" s="3"/>
      <c r="B13" s="3"/>
      <c r="C13" s="3"/>
      <c r="D13" s="1">
        <v>2025</v>
      </c>
      <c r="E13" s="4">
        <v>0.0414</v>
      </c>
      <c r="F13" s="4">
        <v>0.1199</v>
      </c>
      <c r="G13" s="5">
        <v>0.03</v>
      </c>
      <c r="H13" s="2">
        <f t="shared" si="0"/>
        <v>0.0950792326939116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H2" sqref="H2"/>
    </sheetView>
  </sheetViews>
  <sheetFormatPr defaultColWidth="9.02654867256637" defaultRowHeight="13.5" outlineLevelCol="7"/>
  <cols>
    <col min="1" max="1" width="9.24778761061947" style="6" customWidth="1"/>
    <col min="2" max="2" width="16.8318584070796" style="6" customWidth="1"/>
    <col min="3" max="3" width="13.4336283185841" style="6" customWidth="1"/>
    <col min="4" max="4" width="5.53097345132743" style="6" customWidth="1"/>
    <col min="5" max="7" width="11.3097345132743" style="6" customWidth="1"/>
    <col min="8" max="8" width="13.4336283185841" style="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8" t="s">
        <v>14</v>
      </c>
      <c r="B2" s="1" t="s">
        <v>15</v>
      </c>
      <c r="C2" s="1" t="s">
        <v>16</v>
      </c>
      <c r="D2" s="1">
        <v>2005</v>
      </c>
      <c r="E2" s="7">
        <v>-0.1581</v>
      </c>
      <c r="F2" s="7">
        <v>0.2048</v>
      </c>
      <c r="G2" s="5">
        <v>0.03</v>
      </c>
      <c r="H2" s="2">
        <f>(E2-G2)/F2</f>
        <v>-0.91845703125</v>
      </c>
    </row>
    <row r="3" spans="1:8">
      <c r="A3" s="1"/>
      <c r="B3" s="1"/>
      <c r="C3" s="1"/>
      <c r="D3" s="1">
        <v>2006</v>
      </c>
      <c r="E3" s="7">
        <v>1.1344</v>
      </c>
      <c r="F3" s="7">
        <v>0.239</v>
      </c>
      <c r="G3" s="5">
        <v>0.03</v>
      </c>
      <c r="H3" s="2">
        <f t="shared" ref="H3:H22" si="0">(E3-G3)/F3</f>
        <v>4.62092050209205</v>
      </c>
    </row>
    <row r="4" spans="1:8">
      <c r="A4" s="1"/>
      <c r="B4" s="1"/>
      <c r="C4" s="1"/>
      <c r="D4" s="1">
        <v>2007</v>
      </c>
      <c r="E4" s="7">
        <v>2.1882</v>
      </c>
      <c r="F4" s="7">
        <v>0.4421</v>
      </c>
      <c r="G4" s="5">
        <v>0.03</v>
      </c>
      <c r="H4" s="2">
        <f t="shared" si="0"/>
        <v>4.88170097263063</v>
      </c>
    </row>
    <row r="5" spans="1:8">
      <c r="A5" s="1"/>
      <c r="B5" s="1"/>
      <c r="C5" s="1"/>
      <c r="D5" s="1">
        <v>2008</v>
      </c>
      <c r="E5" s="7">
        <v>-0.6259</v>
      </c>
      <c r="F5" s="7">
        <v>0.4612</v>
      </c>
      <c r="G5" s="5">
        <v>0.03</v>
      </c>
      <c r="H5" s="2">
        <f t="shared" si="0"/>
        <v>-1.42215958369471</v>
      </c>
    </row>
    <row r="6" spans="1:8">
      <c r="A6" s="1"/>
      <c r="B6" s="1"/>
      <c r="C6" s="1"/>
      <c r="D6" s="1">
        <v>2009</v>
      </c>
      <c r="E6" s="7">
        <v>1.0862</v>
      </c>
      <c r="F6" s="7">
        <v>0.3669</v>
      </c>
      <c r="G6" s="5">
        <v>0.03</v>
      </c>
      <c r="H6" s="2">
        <f t="shared" si="0"/>
        <v>2.87871354592532</v>
      </c>
    </row>
    <row r="7" spans="1:8">
      <c r="A7" s="1"/>
      <c r="B7" s="1"/>
      <c r="C7" s="1"/>
      <c r="D7" s="1">
        <v>2010</v>
      </c>
      <c r="E7" s="7">
        <v>-0.12</v>
      </c>
      <c r="F7" s="7">
        <v>0.2421</v>
      </c>
      <c r="G7" s="5">
        <v>0.03</v>
      </c>
      <c r="H7" s="2">
        <f t="shared" si="0"/>
        <v>-0.619578686493185</v>
      </c>
    </row>
    <row r="8" spans="1:8">
      <c r="A8" s="1"/>
      <c r="B8" s="1"/>
      <c r="C8" s="1"/>
      <c r="D8" s="1">
        <v>2011</v>
      </c>
      <c r="E8" s="7">
        <v>-0.2165</v>
      </c>
      <c r="F8" s="7">
        <v>0.1788</v>
      </c>
      <c r="G8" s="5">
        <v>0.03</v>
      </c>
      <c r="H8" s="2">
        <f t="shared" si="0"/>
        <v>-1.37863534675615</v>
      </c>
    </row>
    <row r="9" spans="1:8">
      <c r="A9" s="1"/>
      <c r="B9" s="1"/>
      <c r="C9" s="1"/>
      <c r="D9" s="1">
        <v>2012</v>
      </c>
      <c r="E9" s="7">
        <v>0.0453</v>
      </c>
      <c r="F9" s="7">
        <v>0.1925</v>
      </c>
      <c r="G9" s="5">
        <v>0.03</v>
      </c>
      <c r="H9" s="2">
        <f t="shared" si="0"/>
        <v>0.0794805194805195</v>
      </c>
    </row>
    <row r="10" spans="1:8">
      <c r="A10" s="1"/>
      <c r="B10" s="1"/>
      <c r="C10" s="1"/>
      <c r="D10" s="1">
        <v>2013</v>
      </c>
      <c r="E10" s="7">
        <v>-0.103</v>
      </c>
      <c r="F10" s="7">
        <v>0.1957</v>
      </c>
      <c r="G10" s="5">
        <v>0.03</v>
      </c>
      <c r="H10" s="2">
        <f t="shared" si="0"/>
        <v>-0.679611650485437</v>
      </c>
    </row>
    <row r="11" spans="1:8">
      <c r="A11" s="1"/>
      <c r="B11" s="1"/>
      <c r="C11" s="1"/>
      <c r="D11" s="1">
        <v>2014</v>
      </c>
      <c r="E11" s="7">
        <v>0.6051</v>
      </c>
      <c r="F11" s="7">
        <v>0.1887</v>
      </c>
      <c r="G11" s="5">
        <v>0.03</v>
      </c>
      <c r="H11" s="2">
        <f t="shared" si="0"/>
        <v>3.04769475357711</v>
      </c>
    </row>
    <row r="12" spans="1:8">
      <c r="A12" s="1"/>
      <c r="B12" s="1"/>
      <c r="C12" s="1"/>
      <c r="D12" s="1">
        <v>2015</v>
      </c>
      <c r="E12" s="7">
        <v>0.0683</v>
      </c>
      <c r="F12" s="7">
        <v>0.3947</v>
      </c>
      <c r="G12" s="5">
        <v>0.03</v>
      </c>
      <c r="H12" s="2">
        <f t="shared" si="0"/>
        <v>0.0970357233341779</v>
      </c>
    </row>
    <row r="13" spans="1:8">
      <c r="A13" s="1"/>
      <c r="B13" s="1"/>
      <c r="C13" s="1"/>
      <c r="D13" s="1">
        <v>2016</v>
      </c>
      <c r="E13" s="7">
        <v>-0.0559</v>
      </c>
      <c r="F13" s="7">
        <v>0.1828</v>
      </c>
      <c r="G13" s="5">
        <v>0.03</v>
      </c>
      <c r="H13" s="2">
        <f t="shared" si="0"/>
        <v>-0.469912472647702</v>
      </c>
    </row>
    <row r="14" spans="1:8">
      <c r="A14" s="1"/>
      <c r="B14" s="1"/>
      <c r="C14" s="1"/>
      <c r="D14" s="1">
        <v>2017</v>
      </c>
      <c r="E14" s="7">
        <v>0.3016</v>
      </c>
      <c r="F14" s="7">
        <v>0.1003</v>
      </c>
      <c r="G14" s="5">
        <v>0.03</v>
      </c>
      <c r="H14" s="2">
        <f t="shared" si="0"/>
        <v>2.70787637088734</v>
      </c>
    </row>
    <row r="15" spans="1:8">
      <c r="A15" s="1"/>
      <c r="B15" s="1"/>
      <c r="C15" s="1"/>
      <c r="D15" s="1">
        <v>2018</v>
      </c>
      <c r="E15" s="7">
        <v>-0.1786</v>
      </c>
      <c r="F15" s="7">
        <v>0.1885</v>
      </c>
      <c r="G15" s="5">
        <v>0.03</v>
      </c>
      <c r="H15" s="2">
        <f t="shared" si="0"/>
        <v>-1.10663129973475</v>
      </c>
    </row>
    <row r="16" spans="1:8">
      <c r="A16" s="1"/>
      <c r="B16" s="1"/>
      <c r="C16" s="1"/>
      <c r="D16" s="1">
        <v>2019</v>
      </c>
      <c r="E16" s="7">
        <v>0.2128</v>
      </c>
      <c r="F16" s="7">
        <v>0.1687</v>
      </c>
      <c r="G16" s="5">
        <v>0.03</v>
      </c>
      <c r="H16" s="2">
        <f t="shared" si="0"/>
        <v>1.08358032009484</v>
      </c>
    </row>
    <row r="17" spans="1:8">
      <c r="A17" s="1"/>
      <c r="B17" s="1"/>
      <c r="C17" s="1"/>
      <c r="D17" s="1">
        <v>2020</v>
      </c>
      <c r="E17" s="7">
        <v>0.0317</v>
      </c>
      <c r="F17" s="7">
        <v>0.2058</v>
      </c>
      <c r="G17" s="5">
        <v>0.03</v>
      </c>
      <c r="H17" s="2">
        <f t="shared" si="0"/>
        <v>0.00826044703595724</v>
      </c>
    </row>
    <row r="18" spans="1:8">
      <c r="A18" s="1"/>
      <c r="B18" s="1"/>
      <c r="C18" s="1"/>
      <c r="D18" s="1">
        <v>2021</v>
      </c>
      <c r="E18" s="7">
        <v>-0.0421</v>
      </c>
      <c r="F18" s="7">
        <v>0.1536</v>
      </c>
      <c r="G18" s="5">
        <v>0.03</v>
      </c>
      <c r="H18" s="2">
        <f t="shared" si="0"/>
        <v>-0.469401041666667</v>
      </c>
    </row>
    <row r="19" spans="1:8">
      <c r="A19" s="1"/>
      <c r="B19" s="1"/>
      <c r="C19" s="1"/>
      <c r="D19" s="1">
        <v>2022</v>
      </c>
      <c r="E19" s="7">
        <v>-0.0706</v>
      </c>
      <c r="F19" s="7">
        <v>0.1887</v>
      </c>
      <c r="G19" s="5">
        <v>0.03</v>
      </c>
      <c r="H19" s="2">
        <f t="shared" si="0"/>
        <v>-0.533121356650768</v>
      </c>
    </row>
    <row r="20" spans="1:8">
      <c r="A20" s="1"/>
      <c r="B20" s="1"/>
      <c r="C20" s="1"/>
      <c r="D20" s="1">
        <v>2023</v>
      </c>
      <c r="E20" s="7">
        <v>-0.0243</v>
      </c>
      <c r="F20" s="7">
        <v>0.1351</v>
      </c>
      <c r="G20" s="5">
        <v>0.03</v>
      </c>
      <c r="H20" s="2">
        <f t="shared" si="0"/>
        <v>-0.401924500370096</v>
      </c>
    </row>
    <row r="21" spans="1:8">
      <c r="A21" s="1"/>
      <c r="B21" s="1"/>
      <c r="C21" s="1"/>
      <c r="D21" s="1">
        <v>2024</v>
      </c>
      <c r="E21" s="7">
        <v>0.2295</v>
      </c>
      <c r="F21" s="7">
        <v>0.1779</v>
      </c>
      <c r="G21" s="5">
        <v>0.03</v>
      </c>
      <c r="H21" s="2">
        <f t="shared" si="0"/>
        <v>1.12141652613828</v>
      </c>
    </row>
    <row r="22" spans="1:8">
      <c r="A22" s="1"/>
      <c r="B22" s="1"/>
      <c r="C22" s="1"/>
      <c r="D22" s="1">
        <v>2025</v>
      </c>
      <c r="E22" s="7">
        <v>0.0157</v>
      </c>
      <c r="F22" s="7">
        <v>0.1202</v>
      </c>
      <c r="G22" s="5">
        <v>0.03</v>
      </c>
      <c r="H22" s="2">
        <f t="shared" si="0"/>
        <v>-0.118968386023294</v>
      </c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opLeftCell="C1" workbookViewId="0">
      <selection activeCell="K8" sqref="K8"/>
    </sheetView>
  </sheetViews>
  <sheetFormatPr defaultColWidth="9.02654867256637" defaultRowHeight="13.5" outlineLevelCol="7"/>
  <cols>
    <col min="1" max="1" width="9.24778761061947" customWidth="1"/>
    <col min="2" max="2" width="16.8318584070796" customWidth="1"/>
    <col min="3" max="3" width="13.4336283185841" customWidth="1"/>
    <col min="4" max="4" width="5.53097345132743" customWidth="1"/>
    <col min="5" max="6" width="11.3097345132743" style="6" customWidth="1"/>
    <col min="7" max="7" width="11.3097345132743" customWidth="1"/>
    <col min="8" max="8" width="13.433628318584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9" t="s">
        <v>17</v>
      </c>
      <c r="B2" s="3" t="s">
        <v>18</v>
      </c>
      <c r="C2" s="3" t="s">
        <v>19</v>
      </c>
      <c r="D2" s="1">
        <v>2005</v>
      </c>
      <c r="E2" s="7">
        <v>-0.0459</v>
      </c>
      <c r="F2" s="7">
        <v>0.2398</v>
      </c>
      <c r="G2" s="5">
        <v>0.03</v>
      </c>
      <c r="H2" s="2">
        <f>(E2-G2)/F2</f>
        <v>-0.31651376146789</v>
      </c>
    </row>
    <row r="3" spans="1:8">
      <c r="A3" s="3"/>
      <c r="B3" s="3"/>
      <c r="C3" s="3"/>
      <c r="D3" s="1">
        <v>2006</v>
      </c>
      <c r="E3" s="7">
        <v>0.9655</v>
      </c>
      <c r="F3" s="7">
        <v>0.2598</v>
      </c>
      <c r="G3" s="5">
        <v>0.03</v>
      </c>
      <c r="H3" s="2">
        <f t="shared" ref="H3:H22" si="0">(E3-G3)/F3</f>
        <v>3.6008468052348</v>
      </c>
    </row>
    <row r="4" spans="1:8">
      <c r="A4" s="3"/>
      <c r="B4" s="3"/>
      <c r="C4" s="3"/>
      <c r="D4" s="1">
        <v>2007</v>
      </c>
      <c r="E4" s="7">
        <v>1.8823</v>
      </c>
      <c r="F4" s="7">
        <v>0.424</v>
      </c>
      <c r="G4" s="5">
        <v>0.03</v>
      </c>
      <c r="H4" s="2">
        <f t="shared" si="0"/>
        <v>4.3686320754717</v>
      </c>
    </row>
    <row r="5" spans="1:8">
      <c r="A5" s="3"/>
      <c r="B5" s="3"/>
      <c r="C5" s="3"/>
      <c r="D5" s="1">
        <v>2008</v>
      </c>
      <c r="E5" s="7">
        <v>-0.5688</v>
      </c>
      <c r="F5" s="7">
        <v>0.5384</v>
      </c>
      <c r="G5" s="5">
        <v>0.03</v>
      </c>
      <c r="H5" s="2">
        <f t="shared" si="0"/>
        <v>-1.11218424962853</v>
      </c>
    </row>
    <row r="6" spans="1:8">
      <c r="A6" s="3"/>
      <c r="B6" s="3"/>
      <c r="C6" s="3"/>
      <c r="D6" s="1">
        <v>2009</v>
      </c>
      <c r="E6" s="7">
        <v>1.2145</v>
      </c>
      <c r="F6" s="7">
        <v>0.3471</v>
      </c>
      <c r="G6" s="5">
        <v>0.03</v>
      </c>
      <c r="H6" s="2">
        <f t="shared" si="0"/>
        <v>3.41256122154999</v>
      </c>
    </row>
    <row r="7" spans="1:8">
      <c r="A7" s="3"/>
      <c r="B7" s="3"/>
      <c r="C7" s="3"/>
      <c r="D7" s="1">
        <v>2010</v>
      </c>
      <c r="E7" s="7">
        <v>0.1861</v>
      </c>
      <c r="F7" s="7">
        <v>0.2713</v>
      </c>
      <c r="G7" s="5">
        <v>0.03</v>
      </c>
      <c r="H7" s="2">
        <f t="shared" si="0"/>
        <v>0.575377810541836</v>
      </c>
    </row>
    <row r="8" spans="1:8">
      <c r="A8" s="3"/>
      <c r="B8" s="3"/>
      <c r="C8" s="3"/>
      <c r="D8" s="1">
        <v>2011</v>
      </c>
      <c r="E8" s="7">
        <v>-0.308</v>
      </c>
      <c r="F8" s="7">
        <v>0.228</v>
      </c>
      <c r="G8" s="5">
        <v>0.03</v>
      </c>
      <c r="H8" s="2">
        <f t="shared" si="0"/>
        <v>-1.48245614035088</v>
      </c>
    </row>
    <row r="9" spans="1:8">
      <c r="A9" s="3"/>
      <c r="B9" s="3"/>
      <c r="C9" s="3"/>
      <c r="D9" s="1">
        <v>2012</v>
      </c>
      <c r="E9" s="7">
        <v>-0.0186</v>
      </c>
      <c r="F9" s="7">
        <v>0.218</v>
      </c>
      <c r="G9" s="5">
        <v>0.03</v>
      </c>
      <c r="H9" s="2">
        <f t="shared" si="0"/>
        <v>-0.222935779816514</v>
      </c>
    </row>
    <row r="10" spans="1:8">
      <c r="A10" s="3"/>
      <c r="B10" s="3"/>
      <c r="C10" s="3"/>
      <c r="D10" s="1">
        <v>2013</v>
      </c>
      <c r="E10" s="7">
        <v>0.1789</v>
      </c>
      <c r="F10" s="7">
        <v>0.2109</v>
      </c>
      <c r="G10" s="5">
        <v>0.03</v>
      </c>
      <c r="H10" s="2">
        <f t="shared" si="0"/>
        <v>0.706021811284969</v>
      </c>
    </row>
    <row r="11" spans="1:8">
      <c r="A11" s="3"/>
      <c r="B11" s="3"/>
      <c r="C11" s="3"/>
      <c r="D11" s="1">
        <v>2014</v>
      </c>
      <c r="E11" s="7">
        <v>0.3727</v>
      </c>
      <c r="F11" s="7">
        <v>0.2026</v>
      </c>
      <c r="G11" s="5">
        <v>0.03</v>
      </c>
      <c r="H11" s="2">
        <f t="shared" si="0"/>
        <v>1.69151036525173</v>
      </c>
    </row>
    <row r="12" spans="1:8">
      <c r="A12" s="3"/>
      <c r="B12" s="3"/>
      <c r="C12" s="3"/>
      <c r="D12" s="1">
        <v>2015</v>
      </c>
      <c r="E12" s="7">
        <v>0.5144</v>
      </c>
      <c r="F12" s="7">
        <v>0.5149</v>
      </c>
      <c r="G12" s="5">
        <v>0.03</v>
      </c>
      <c r="H12" s="2">
        <f t="shared" si="0"/>
        <v>0.940765197125655</v>
      </c>
    </row>
    <row r="13" spans="1:8">
      <c r="A13" s="3"/>
      <c r="B13" s="3"/>
      <c r="C13" s="3"/>
      <c r="D13" s="1">
        <v>2016</v>
      </c>
      <c r="E13" s="7">
        <v>-0.1226</v>
      </c>
      <c r="F13" s="7">
        <v>0.2921</v>
      </c>
      <c r="G13" s="5">
        <v>0.03</v>
      </c>
      <c r="H13" s="2">
        <f t="shared" si="0"/>
        <v>-0.522423827456351</v>
      </c>
    </row>
    <row r="14" spans="1:8">
      <c r="A14" s="3"/>
      <c r="B14" s="3"/>
      <c r="C14" s="3"/>
      <c r="D14" s="1">
        <v>2017</v>
      </c>
      <c r="E14" s="7">
        <v>0.0031</v>
      </c>
      <c r="F14" s="7">
        <v>0.1511</v>
      </c>
      <c r="G14" s="5">
        <v>0.03</v>
      </c>
      <c r="H14" s="2">
        <f t="shared" si="0"/>
        <v>-0.178027796161482</v>
      </c>
    </row>
    <row r="15" spans="1:8">
      <c r="A15" s="3"/>
      <c r="B15" s="3"/>
      <c r="C15" s="3"/>
      <c r="D15" s="1">
        <v>2018</v>
      </c>
      <c r="E15" s="7">
        <v>-0.2415</v>
      </c>
      <c r="F15" s="7">
        <v>0.2248</v>
      </c>
      <c r="G15" s="5">
        <v>0.03</v>
      </c>
      <c r="H15" s="2">
        <f t="shared" si="0"/>
        <v>-1.20774021352313</v>
      </c>
    </row>
    <row r="16" spans="1:8">
      <c r="A16" s="3"/>
      <c r="B16" s="3"/>
      <c r="C16" s="3"/>
      <c r="D16" s="1">
        <v>2019</v>
      </c>
      <c r="E16" s="7">
        <v>0.1272</v>
      </c>
      <c r="F16" s="7">
        <v>0.2096</v>
      </c>
      <c r="G16" s="5">
        <v>0.03</v>
      </c>
      <c r="H16" s="2">
        <f t="shared" si="0"/>
        <v>0.463740458015267</v>
      </c>
    </row>
    <row r="17" spans="1:8">
      <c r="A17" s="3"/>
      <c r="B17" s="3"/>
      <c r="C17" s="3"/>
      <c r="D17" s="1">
        <v>2020</v>
      </c>
      <c r="E17" s="7">
        <v>0.0224</v>
      </c>
      <c r="F17" s="7">
        <v>0.2271</v>
      </c>
      <c r="G17" s="5">
        <v>0.03</v>
      </c>
      <c r="H17" s="2">
        <f t="shared" si="0"/>
        <v>-0.0334654337296345</v>
      </c>
    </row>
    <row r="18" spans="1:8">
      <c r="A18" s="3"/>
      <c r="B18" s="3"/>
      <c r="C18" s="3"/>
      <c r="D18" s="1">
        <v>2021</v>
      </c>
      <c r="E18" s="7">
        <v>0.17</v>
      </c>
      <c r="F18" s="7">
        <v>0.1907</v>
      </c>
      <c r="G18" s="5">
        <v>0.03</v>
      </c>
      <c r="H18" s="2">
        <f t="shared" si="0"/>
        <v>0.734137388568432</v>
      </c>
    </row>
    <row r="19" spans="1:8">
      <c r="A19" s="3"/>
      <c r="B19" s="3"/>
      <c r="C19" s="3"/>
      <c r="D19" s="1">
        <v>2022</v>
      </c>
      <c r="E19" s="7">
        <v>-0.07</v>
      </c>
      <c r="F19" s="7">
        <v>0.2257</v>
      </c>
      <c r="G19" s="5">
        <v>0.03</v>
      </c>
      <c r="H19" s="2">
        <f t="shared" si="0"/>
        <v>-0.443066016836509</v>
      </c>
    </row>
    <row r="20" spans="1:8">
      <c r="A20" s="3"/>
      <c r="B20" s="3"/>
      <c r="C20" s="3"/>
      <c r="D20" s="1">
        <v>2023</v>
      </c>
      <c r="E20" s="7">
        <v>0.0495</v>
      </c>
      <c r="F20" s="7">
        <v>0.1192</v>
      </c>
      <c r="G20" s="5">
        <v>0.03</v>
      </c>
      <c r="H20" s="2">
        <f t="shared" si="0"/>
        <v>0.163590604026846</v>
      </c>
    </row>
    <row r="21" spans="1:8">
      <c r="A21" s="3"/>
      <c r="B21" s="3"/>
      <c r="C21" s="3"/>
      <c r="D21" s="1">
        <v>2024</v>
      </c>
      <c r="E21" s="7">
        <v>0.1058</v>
      </c>
      <c r="F21" s="7">
        <v>0.212</v>
      </c>
      <c r="G21" s="5">
        <v>0.03</v>
      </c>
      <c r="H21" s="2">
        <f t="shared" si="0"/>
        <v>0.357547169811321</v>
      </c>
    </row>
    <row r="22" spans="1:8">
      <c r="A22" s="3"/>
      <c r="B22" s="3"/>
      <c r="C22" s="3"/>
      <c r="D22" s="1">
        <v>2025</v>
      </c>
      <c r="E22" s="7">
        <v>0.0427</v>
      </c>
      <c r="F22" s="7">
        <v>0.1406</v>
      </c>
      <c r="G22" s="5">
        <v>0.03</v>
      </c>
      <c r="H22" s="2">
        <f t="shared" si="0"/>
        <v>0.0903271692745377</v>
      </c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topLeftCell="D1" workbookViewId="0">
      <selection activeCell="I10" sqref="I10"/>
    </sheetView>
  </sheetViews>
  <sheetFormatPr defaultColWidth="9.02654867256637" defaultRowHeight="13.5" outlineLevelCol="7"/>
  <cols>
    <col min="1" max="1" width="9.24778761061947" customWidth="1"/>
    <col min="2" max="2" width="17.9646017699115" customWidth="1"/>
    <col min="3" max="3" width="13.4336283185841" customWidth="1"/>
    <col min="4" max="4" width="5.53097345132743" customWidth="1"/>
    <col min="5" max="6" width="11.3097345132743" style="6" customWidth="1"/>
    <col min="7" max="7" width="11.3097345132743" customWidth="1"/>
    <col min="8" max="8" width="13.433628318584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>
        <v>931645</v>
      </c>
      <c r="B2" s="3" t="s">
        <v>20</v>
      </c>
      <c r="C2" s="3" t="s">
        <v>21</v>
      </c>
      <c r="D2" s="1">
        <v>2014</v>
      </c>
      <c r="E2" s="7">
        <v>0.3034</v>
      </c>
      <c r="F2" s="7">
        <v>0.2234</v>
      </c>
      <c r="G2" s="5">
        <v>0.03</v>
      </c>
      <c r="H2" s="2">
        <f>(E2-G2)/F2</f>
        <v>1.22381378692927</v>
      </c>
    </row>
    <row r="3" spans="1:8">
      <c r="A3" s="3"/>
      <c r="B3" s="3"/>
      <c r="C3" s="3"/>
      <c r="D3" s="1">
        <v>2015</v>
      </c>
      <c r="E3" s="7">
        <v>0.7791</v>
      </c>
      <c r="F3" s="7">
        <v>0.482</v>
      </c>
      <c r="G3" s="5">
        <v>0.03</v>
      </c>
      <c r="H3" s="2">
        <f t="shared" ref="H3:H13" si="0">(E3-G3)/F3</f>
        <v>1.55414937759336</v>
      </c>
    </row>
    <row r="4" spans="1:8">
      <c r="A4" s="3"/>
      <c r="B4" s="3"/>
      <c r="C4" s="3"/>
      <c r="D4" s="1">
        <v>2016</v>
      </c>
      <c r="E4" s="7">
        <v>-0.1332</v>
      </c>
      <c r="F4" s="7">
        <v>0.3064</v>
      </c>
      <c r="G4" s="5">
        <v>0.03</v>
      </c>
      <c r="H4" s="2">
        <f t="shared" si="0"/>
        <v>-0.532637075718016</v>
      </c>
    </row>
    <row r="5" spans="1:8">
      <c r="A5" s="3"/>
      <c r="B5" s="3"/>
      <c r="C5" s="3"/>
      <c r="D5" s="1">
        <v>2017</v>
      </c>
      <c r="E5" s="7">
        <v>-0.059</v>
      </c>
      <c r="F5" s="7">
        <v>0.1536</v>
      </c>
      <c r="G5" s="5">
        <v>0.03</v>
      </c>
      <c r="H5" s="2">
        <f t="shared" si="0"/>
        <v>-0.579427083333333</v>
      </c>
    </row>
    <row r="6" spans="1:8">
      <c r="A6" s="3"/>
      <c r="B6" s="3"/>
      <c r="C6" s="3"/>
      <c r="D6" s="1">
        <v>2018</v>
      </c>
      <c r="E6" s="7">
        <v>-0.2813</v>
      </c>
      <c r="F6" s="7">
        <v>0.2276</v>
      </c>
      <c r="G6" s="5">
        <v>0.03</v>
      </c>
      <c r="H6" s="2">
        <f t="shared" si="0"/>
        <v>-1.36775043936731</v>
      </c>
    </row>
    <row r="7" spans="1:8">
      <c r="A7" s="3"/>
      <c r="B7" s="3"/>
      <c r="C7" s="3"/>
      <c r="D7" s="1">
        <v>2019</v>
      </c>
      <c r="E7" s="7">
        <v>0.2624</v>
      </c>
      <c r="F7" s="7">
        <v>0.218</v>
      </c>
      <c r="G7" s="5">
        <v>0.03</v>
      </c>
      <c r="H7" s="2">
        <f t="shared" si="0"/>
        <v>1.06605504587156</v>
      </c>
    </row>
    <row r="8" spans="1:8">
      <c r="A8" s="3"/>
      <c r="B8" s="3"/>
      <c r="C8" s="3"/>
      <c r="D8" s="1">
        <v>2020</v>
      </c>
      <c r="E8" s="7">
        <v>0.1452</v>
      </c>
      <c r="F8" s="7">
        <v>0.2277</v>
      </c>
      <c r="G8" s="5">
        <v>0.03</v>
      </c>
      <c r="H8" s="2">
        <f t="shared" si="0"/>
        <v>0.505928853754941</v>
      </c>
    </row>
    <row r="9" spans="1:8">
      <c r="A9" s="3"/>
      <c r="B9" s="3"/>
      <c r="C9" s="3"/>
      <c r="D9" s="1">
        <v>2021</v>
      </c>
      <c r="E9" s="7">
        <v>0.2721</v>
      </c>
      <c r="F9" s="7">
        <v>0.1843</v>
      </c>
      <c r="G9" s="5">
        <v>0.03</v>
      </c>
      <c r="H9" s="2">
        <f t="shared" si="0"/>
        <v>1.31361909929463</v>
      </c>
    </row>
    <row r="10" spans="1:8">
      <c r="A10" s="3"/>
      <c r="B10" s="3"/>
      <c r="C10" s="3"/>
      <c r="D10" s="1">
        <v>2022</v>
      </c>
      <c r="E10" s="7">
        <v>-0.1264</v>
      </c>
      <c r="F10" s="7">
        <v>0.2236</v>
      </c>
      <c r="G10" s="5">
        <v>0.03</v>
      </c>
      <c r="H10" s="2">
        <f t="shared" si="0"/>
        <v>-0.699463327370304</v>
      </c>
    </row>
    <row r="11" spans="1:8">
      <c r="A11" s="3"/>
      <c r="B11" s="3"/>
      <c r="C11" s="3"/>
      <c r="D11" s="1">
        <v>2023</v>
      </c>
      <c r="E11" s="7">
        <v>-0.0256</v>
      </c>
      <c r="F11" s="7">
        <v>0.1174</v>
      </c>
      <c r="G11" s="5">
        <v>0.03</v>
      </c>
      <c r="H11" s="2">
        <f t="shared" si="0"/>
        <v>-0.473594548551959</v>
      </c>
    </row>
    <row r="12" spans="1:8">
      <c r="A12" s="3"/>
      <c r="B12" s="3"/>
      <c r="C12" s="3"/>
      <c r="D12" s="1">
        <v>2024</v>
      </c>
      <c r="E12" s="7">
        <v>0.1055</v>
      </c>
      <c r="F12" s="7">
        <v>0.2418</v>
      </c>
      <c r="G12" s="5">
        <v>0.03</v>
      </c>
      <c r="H12" s="2">
        <f t="shared" si="0"/>
        <v>0.312241521918941</v>
      </c>
    </row>
    <row r="13" spans="1:8">
      <c r="A13" s="3"/>
      <c r="B13" s="3"/>
      <c r="C13" s="3"/>
      <c r="D13" s="1">
        <v>2025</v>
      </c>
      <c r="E13" s="7">
        <v>0.055</v>
      </c>
      <c r="F13" s="7">
        <v>0.1399</v>
      </c>
      <c r="G13" s="5">
        <v>0.03</v>
      </c>
      <c r="H13" s="2">
        <f t="shared" si="0"/>
        <v>0.178699070764832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L9" sqref="L9"/>
    </sheetView>
  </sheetViews>
  <sheetFormatPr defaultColWidth="9.02654867256637" defaultRowHeight="13.5" outlineLevelCol="7"/>
  <cols>
    <col min="1" max="1" width="9.24778761061947" style="1" customWidth="1"/>
    <col min="2" max="2" width="17.9646017699115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22</v>
      </c>
      <c r="B2" s="3" t="s">
        <v>23</v>
      </c>
      <c r="C2" s="3" t="s">
        <v>24</v>
      </c>
      <c r="D2" s="1">
        <v>2014</v>
      </c>
      <c r="E2" s="4">
        <v>0.5475</v>
      </c>
      <c r="F2" s="4">
        <v>0.1728</v>
      </c>
      <c r="G2" s="5">
        <v>0.03</v>
      </c>
      <c r="H2" s="2">
        <f t="shared" ref="H2:H13" si="0">(E2-G2)/F2</f>
        <v>2.99479166666667</v>
      </c>
    </row>
    <row r="3" spans="1:8">
      <c r="A3" s="3"/>
      <c r="B3" s="3"/>
      <c r="C3" s="3"/>
      <c r="D3" s="1">
        <v>2015</v>
      </c>
      <c r="E3" s="4">
        <v>0.1021</v>
      </c>
      <c r="F3" s="4">
        <v>0.3849</v>
      </c>
      <c r="G3" s="5">
        <v>0.03</v>
      </c>
      <c r="H3" s="2">
        <f t="shared" si="0"/>
        <v>0.187321382177189</v>
      </c>
    </row>
    <row r="4" spans="1:8">
      <c r="A4" s="3"/>
      <c r="B4" s="3"/>
      <c r="C4" s="3"/>
      <c r="D4" s="1">
        <v>2016</v>
      </c>
      <c r="E4" s="4">
        <v>-0.0411</v>
      </c>
      <c r="F4" s="4">
        <v>0.1835</v>
      </c>
      <c r="G4" s="5">
        <v>0.03</v>
      </c>
      <c r="H4" s="2">
        <f t="shared" si="0"/>
        <v>-0.387465940054496</v>
      </c>
    </row>
    <row r="5" spans="1:8">
      <c r="A5" s="3"/>
      <c r="B5" s="3"/>
      <c r="C5" s="3"/>
      <c r="D5" s="1">
        <v>2017</v>
      </c>
      <c r="E5" s="4">
        <v>0.2641</v>
      </c>
      <c r="F5" s="4">
        <v>0.0904</v>
      </c>
      <c r="G5" s="5">
        <v>0.03</v>
      </c>
      <c r="H5" s="2">
        <f t="shared" si="0"/>
        <v>2.5896017699115</v>
      </c>
    </row>
    <row r="6" spans="1:8">
      <c r="A6" s="3"/>
      <c r="B6" s="3"/>
      <c r="C6" s="3"/>
      <c r="D6" s="1">
        <v>2018</v>
      </c>
      <c r="E6" s="4">
        <v>-0.175</v>
      </c>
      <c r="F6" s="4">
        <v>0.1821</v>
      </c>
      <c r="G6" s="5">
        <v>0.03</v>
      </c>
      <c r="H6" s="2">
        <f t="shared" si="0"/>
        <v>-1.12575507962658</v>
      </c>
    </row>
    <row r="7" spans="1:8">
      <c r="A7" s="3"/>
      <c r="B7" s="3"/>
      <c r="C7" s="3"/>
      <c r="D7" s="1">
        <v>2019</v>
      </c>
      <c r="E7" s="4">
        <v>0.2049</v>
      </c>
      <c r="F7" s="4">
        <v>0.1691</v>
      </c>
      <c r="G7" s="5">
        <v>0.03</v>
      </c>
      <c r="H7" s="2">
        <f t="shared" si="0"/>
        <v>1.03429923122413</v>
      </c>
    </row>
    <row r="8" spans="1:8">
      <c r="A8" s="3"/>
      <c r="B8" s="3"/>
      <c r="C8" s="3"/>
      <c r="D8" s="1">
        <v>2020</v>
      </c>
      <c r="E8" s="4">
        <v>0.0846</v>
      </c>
      <c r="F8" s="4">
        <v>0.2066</v>
      </c>
      <c r="G8" s="5">
        <v>0.03</v>
      </c>
      <c r="H8" s="2">
        <f t="shared" si="0"/>
        <v>0.264278799612778</v>
      </c>
    </row>
    <row r="9" spans="1:8">
      <c r="A9" s="3"/>
      <c r="B9" s="3"/>
      <c r="C9" s="3"/>
      <c r="D9" s="1">
        <v>2021</v>
      </c>
      <c r="E9" s="4">
        <v>0.0934</v>
      </c>
      <c r="F9" s="4">
        <v>0.1763</v>
      </c>
      <c r="G9" s="5">
        <v>0.03</v>
      </c>
      <c r="H9" s="2">
        <f t="shared" si="0"/>
        <v>0.359614293817357</v>
      </c>
    </row>
    <row r="10" spans="1:8">
      <c r="A10" s="3"/>
      <c r="B10" s="3"/>
      <c r="C10" s="3"/>
      <c r="D10" s="1">
        <v>2022</v>
      </c>
      <c r="E10" s="4">
        <v>-0.0864</v>
      </c>
      <c r="F10" s="4">
        <v>0.2116</v>
      </c>
      <c r="G10" s="5">
        <v>0.03</v>
      </c>
      <c r="H10" s="2">
        <f t="shared" si="0"/>
        <v>-0.550094517958412</v>
      </c>
    </row>
    <row r="11" spans="1:8">
      <c r="A11" s="3"/>
      <c r="B11" s="3"/>
      <c r="C11" s="3"/>
      <c r="D11" s="1">
        <v>2023</v>
      </c>
      <c r="E11" s="4">
        <v>-0.0363</v>
      </c>
      <c r="F11" s="4">
        <v>0.1267</v>
      </c>
      <c r="G11" s="5">
        <v>0.03</v>
      </c>
      <c r="H11" s="2">
        <f t="shared" si="0"/>
        <v>-0.523283346487766</v>
      </c>
    </row>
    <row r="12" spans="1:8">
      <c r="A12" s="3"/>
      <c r="B12" s="3"/>
      <c r="C12" s="3"/>
      <c r="D12" s="1">
        <v>2024</v>
      </c>
      <c r="E12" s="4">
        <v>0.1805</v>
      </c>
      <c r="F12" s="4">
        <v>0.1876</v>
      </c>
      <c r="G12" s="5">
        <v>0.03</v>
      </c>
      <c r="H12" s="2">
        <f t="shared" si="0"/>
        <v>0.802238805970149</v>
      </c>
    </row>
    <row r="13" spans="1:8">
      <c r="A13" s="3"/>
      <c r="B13" s="3"/>
      <c r="C13" s="3"/>
      <c r="D13" s="1">
        <v>2025</v>
      </c>
      <c r="E13" s="4">
        <v>0.0423</v>
      </c>
      <c r="F13" s="4">
        <v>0.1236</v>
      </c>
      <c r="G13" s="5">
        <v>0.03</v>
      </c>
      <c r="H13" s="2">
        <f t="shared" si="0"/>
        <v>0.0995145631067961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中证红利</vt:lpstr>
      <vt:lpstr>红利200</vt:lpstr>
      <vt:lpstr>300红利</vt:lpstr>
      <vt:lpstr>500红利</vt:lpstr>
      <vt:lpstr>1000红利</vt:lpstr>
      <vt:lpstr>A500红利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2026-02-01T10:22:47Z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5A9B0EB948E7464685E7AED5BC35A3BE_12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