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43" firstSheet="1" activeTab="6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  <sheet name="沪港深红利低波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<sst xmlns="http://schemas.openxmlformats.org/spreadsheetml/2006/main" count="76" uniqueCount="28">
  <si>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</si>
  <si>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</si>
  <si>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</si>
  <si>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</si>
  <si>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</si>
  <si>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</si>
  <si>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</si>
  <si>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</si>
  <si>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H30269</t>
  </si>
  <si>
    <t>中证红利低波动指数</t>
  </si>
  <si>
    <t>红利低波</t>
  </si>
  <si>
    <t>930955</t>
  </si>
  <si>
    <t>中证红利低波动100指数</t>
  </si>
  <si>
    <t>红利低波100</t>
  </si>
  <si>
    <t>930740</t>
  </si>
  <si>
    <t>沪深300红利低波动指数</t>
  </si>
  <si>
    <t>300红利低波</t>
  </si>
  <si>
    <t>931847</t>
  </si>
  <si>
    <t>中证500红利低波动指数</t>
  </si>
  <si>
    <t>500红利低波</t>
  </si>
  <si>
    <t>931849</t>
  </si>
  <si>
    <t>中证1000红利低波动指数</t>
  </si>
  <si>
    <t>1000红利低波</t>
  </si>
  <si>
    <t>932422</t>
  </si>
  <si>
    <t>中证A500红利低波动指数</t>
  </si>
  <si>
    <t>A500红利低波</t>
  </si>
  <si>
    <t>中证沪港深红利低波动指数</t>
  </si>
  <si>
    <t>沪港深红利低波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</si>
</sst>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10" fontId="1" fillId="0" borderId="0" xfId="0" applyNumberFormat="1" applyFont="1" applyFill="1" applyAlignment="1">
      <alignment horizontal="left" vertical="center"/>
    </xf>
    <xf numFmtId="9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G24" sqref="G24"/>
    </sheetView>
  </sheetViews>
  <sheetFormatPr defaultColWidth="9" defaultRowHeight="13.5" outlineLevelCol="7"/>
  <cols>
    <col min="1" max="1" width="9.24778761061947" style="1" customWidth="1"/>
    <col min="2" max="2" width="19.9557522123894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5" t="s">
        <v>8</v>
      </c>
      <c r="B2" s="5" t="s">
        <v>9</v>
      </c>
      <c r="C2" s="5" t="s">
        <v>10</v>
      </c>
      <c r="D2" s="1">
        <v>2006</v>
      </c>
      <c r="E2" s="6">
        <v>0.9654</v>
      </c>
      <c r="F2" s="6">
        <v>0.2209</v>
      </c>
      <c r="G2" s="4">
        <v>0.03</v>
      </c>
      <c r="H2" s="2">
        <f>(E2-G2)/F2</f>
        <v>4.23449524671797</v>
      </c>
    </row>
    <row r="3" spans="1:8">
      <c r="A3" s="5"/>
      <c r="B3" s="5"/>
      <c r="C3" s="5"/>
      <c r="D3" s="1">
        <v>2007</v>
      </c>
      <c r="E3" s="6">
        <v>1.975</v>
      </c>
      <c r="F3" s="6">
        <v>0.428</v>
      </c>
      <c r="G3" s="4">
        <v>0.03</v>
      </c>
      <c r="H3" s="2">
        <f t="shared" ref="H3:H21" si="0">(E3-G3)/F3</f>
        <v>4.54439252336449</v>
      </c>
    </row>
    <row r="4" spans="1:8">
      <c r="A4" s="5"/>
      <c r="B4" s="5"/>
      <c r="C4" s="5"/>
      <c r="D4" s="1">
        <v>2008</v>
      </c>
      <c r="E4" s="6">
        <v>-0.5833</v>
      </c>
      <c r="F4" s="6">
        <v>0.4702</v>
      </c>
      <c r="G4" s="4">
        <v>0.03</v>
      </c>
      <c r="H4" s="2">
        <f t="shared" si="0"/>
        <v>-1.30433857932795</v>
      </c>
    </row>
    <row r="5" spans="1:8">
      <c r="A5" s="5"/>
      <c r="B5" s="5"/>
      <c r="C5" s="5"/>
      <c r="D5" s="1">
        <v>2009</v>
      </c>
      <c r="E5" s="6">
        <v>1.0036</v>
      </c>
      <c r="F5" s="6">
        <v>0.3318</v>
      </c>
      <c r="G5" s="4">
        <v>0.03</v>
      </c>
      <c r="H5" s="2">
        <f t="shared" si="0"/>
        <v>2.93429776974081</v>
      </c>
    </row>
    <row r="6" spans="1:8">
      <c r="A6" s="5"/>
      <c r="B6" s="5"/>
      <c r="C6" s="5"/>
      <c r="D6" s="1">
        <v>2010</v>
      </c>
      <c r="E6" s="6">
        <v>0.0544</v>
      </c>
      <c r="F6" s="6">
        <v>0.2527</v>
      </c>
      <c r="G6" s="4">
        <v>0.03</v>
      </c>
      <c r="H6" s="2">
        <f t="shared" si="0"/>
        <v>0.0965571824297586</v>
      </c>
    </row>
    <row r="7" spans="1:8">
      <c r="A7" s="5"/>
      <c r="B7" s="5"/>
      <c r="C7" s="5"/>
      <c r="D7" s="1">
        <v>2011</v>
      </c>
      <c r="E7" s="6">
        <v>-0.1932</v>
      </c>
      <c r="F7" s="6">
        <v>0.1827</v>
      </c>
      <c r="G7" s="4">
        <v>0.03</v>
      </c>
      <c r="H7" s="2">
        <f t="shared" si="0"/>
        <v>-1.22167487684729</v>
      </c>
    </row>
    <row r="8" spans="1:8">
      <c r="A8" s="5"/>
      <c r="B8" s="5"/>
      <c r="C8" s="5"/>
      <c r="D8" s="1">
        <v>2012</v>
      </c>
      <c r="E8" s="6">
        <v>0.0108</v>
      </c>
      <c r="F8" s="6">
        <v>0.1875</v>
      </c>
      <c r="G8" s="4">
        <v>0.03</v>
      </c>
      <c r="H8" s="2">
        <f t="shared" si="0"/>
        <v>-0.1024</v>
      </c>
    </row>
    <row r="9" spans="1:8">
      <c r="A9" s="5"/>
      <c r="B9" s="5"/>
      <c r="C9" s="5"/>
      <c r="D9" s="1">
        <v>2013</v>
      </c>
      <c r="E9" s="6">
        <v>0.1047</v>
      </c>
      <c r="F9" s="6">
        <v>0.2116</v>
      </c>
      <c r="G9" s="4">
        <v>0.03</v>
      </c>
      <c r="H9" s="2">
        <f t="shared" si="0"/>
        <v>0.353024574669187</v>
      </c>
    </row>
    <row r="10" spans="1:8">
      <c r="A10" s="5"/>
      <c r="B10" s="5"/>
      <c r="C10" s="5"/>
      <c r="D10" s="1">
        <v>2014</v>
      </c>
      <c r="E10" s="6">
        <v>0.5058</v>
      </c>
      <c r="F10" s="6">
        <v>0.1735</v>
      </c>
      <c r="G10" s="4">
        <v>0.03</v>
      </c>
      <c r="H10" s="2">
        <f t="shared" si="0"/>
        <v>2.74236311239193</v>
      </c>
    </row>
    <row r="11" spans="1:8">
      <c r="A11" s="5"/>
      <c r="B11" s="5"/>
      <c r="C11" s="5"/>
      <c r="D11" s="1">
        <v>2015</v>
      </c>
      <c r="E11" s="6">
        <v>0.1286</v>
      </c>
      <c r="F11" s="6">
        <v>0.3938</v>
      </c>
      <c r="G11" s="4">
        <v>0.03</v>
      </c>
      <c r="H11" s="2">
        <f t="shared" si="0"/>
        <v>0.250380904012189</v>
      </c>
    </row>
    <row r="12" spans="1:8">
      <c r="A12" s="5"/>
      <c r="B12" s="5"/>
      <c r="C12" s="5"/>
      <c r="D12" s="1">
        <v>2016</v>
      </c>
      <c r="E12" s="6">
        <v>-0.0419</v>
      </c>
      <c r="F12" s="6">
        <v>0.1848</v>
      </c>
      <c r="G12" s="4">
        <v>0.03</v>
      </c>
      <c r="H12" s="2">
        <f t="shared" si="0"/>
        <v>-0.389069264069264</v>
      </c>
    </row>
    <row r="13" spans="1:8">
      <c r="A13" s="5"/>
      <c r="B13" s="5"/>
      <c r="C13" s="5"/>
      <c r="D13" s="1">
        <v>2017</v>
      </c>
      <c r="E13" s="6">
        <v>0.1991</v>
      </c>
      <c r="F13" s="6">
        <v>0.0909</v>
      </c>
      <c r="G13" s="4">
        <v>0.03</v>
      </c>
      <c r="H13" s="2">
        <f t="shared" si="0"/>
        <v>1.86028602860286</v>
      </c>
    </row>
    <row r="14" spans="1:8">
      <c r="A14" s="5"/>
      <c r="B14" s="5"/>
      <c r="C14" s="5"/>
      <c r="D14" s="1">
        <v>2018</v>
      </c>
      <c r="E14" s="6">
        <v>-0.1946</v>
      </c>
      <c r="F14" s="6">
        <v>0.1928</v>
      </c>
      <c r="G14" s="4">
        <v>0.03</v>
      </c>
      <c r="H14" s="2">
        <f t="shared" si="0"/>
        <v>-1.1649377593361</v>
      </c>
    </row>
    <row r="15" spans="1:8">
      <c r="A15" s="5"/>
      <c r="B15" s="5"/>
      <c r="C15" s="5"/>
      <c r="D15" s="1">
        <v>2019</v>
      </c>
      <c r="E15" s="6">
        <v>0.1597</v>
      </c>
      <c r="F15" s="6">
        <v>0.1581</v>
      </c>
      <c r="G15" s="4">
        <v>0.03</v>
      </c>
      <c r="H15" s="2">
        <f t="shared" si="0"/>
        <v>0.820366856419987</v>
      </c>
    </row>
    <row r="16" spans="1:8">
      <c r="A16" s="5"/>
      <c r="B16" s="5"/>
      <c r="C16" s="5"/>
      <c r="D16" s="1">
        <v>2020</v>
      </c>
      <c r="E16" s="6">
        <v>-0.0296</v>
      </c>
      <c r="F16" s="6">
        <v>0.2046</v>
      </c>
      <c r="G16" s="4">
        <v>0.03</v>
      </c>
      <c r="H16" s="2">
        <f t="shared" si="0"/>
        <v>-0.291300097751711</v>
      </c>
    </row>
    <row r="17" spans="1:8">
      <c r="A17" s="5"/>
      <c r="B17" s="5"/>
      <c r="C17" s="5"/>
      <c r="D17" s="1">
        <v>2021</v>
      </c>
      <c r="E17" s="6">
        <v>0.108</v>
      </c>
      <c r="F17" s="6">
        <v>0.1763</v>
      </c>
      <c r="G17" s="4">
        <v>0.03</v>
      </c>
      <c r="H17" s="2">
        <f t="shared" si="0"/>
        <v>0.442427680090755</v>
      </c>
    </row>
    <row r="18" spans="1:8">
      <c r="A18" s="5"/>
      <c r="B18" s="5"/>
      <c r="C18" s="5"/>
      <c r="D18" s="1">
        <v>2022</v>
      </c>
      <c r="E18" s="6">
        <v>-0.019</v>
      </c>
      <c r="F18" s="6">
        <v>0.1959</v>
      </c>
      <c r="G18" s="4">
        <v>0.03</v>
      </c>
      <c r="H18" s="2">
        <f t="shared" si="0"/>
        <v>-0.250127616130679</v>
      </c>
    </row>
    <row r="19" spans="1:8">
      <c r="A19" s="5"/>
      <c r="B19" s="5"/>
      <c r="C19" s="5"/>
      <c r="D19" s="1">
        <v>2023</v>
      </c>
      <c r="E19" s="6">
        <v>0.0645</v>
      </c>
      <c r="F19" s="6">
        <v>0.1264</v>
      </c>
      <c r="G19" s="4">
        <v>0.03</v>
      </c>
      <c r="H19" s="2">
        <f t="shared" si="0"/>
        <v>0.272943037974684</v>
      </c>
    </row>
    <row r="20" spans="1:8">
      <c r="A20" s="5"/>
      <c r="B20" s="5"/>
      <c r="C20" s="5"/>
      <c r="D20" s="1">
        <v>2024</v>
      </c>
      <c r="E20" s="6">
        <v>0.1784</v>
      </c>
      <c r="F20" s="6">
        <v>0.1892</v>
      </c>
      <c r="G20" s="4">
        <v>0.03</v>
      </c>
      <c r="H20" s="2">
        <f t="shared" si="0"/>
        <v>0.784355179704017</v>
      </c>
    </row>
    <row r="21" spans="1:8">
      <c r="A21" s="5"/>
      <c r="B21" s="5"/>
      <c r="C21" s="5"/>
      <c r="D21" s="1">
        <v>2025</v>
      </c>
      <c r="E21" s="6">
        <v>0.0044</v>
      </c>
      <c r="F21" s="6">
        <v>0.116</v>
      </c>
      <c r="G21" s="4">
        <v>0.03</v>
      </c>
      <c r="H21" s="2">
        <f t="shared" si="0"/>
        <v>-0.220689655172414</v>
      </c>
    </row>
  </sheetData>
  <mergeCells count="3">
    <mergeCell ref="A2:A21"/>
    <mergeCell ref="B2:B21"/>
    <mergeCell ref="C2:C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K20" sqref="K20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5" t="s">
        <v>11</v>
      </c>
      <c r="B2" s="5" t="s">
        <v>12</v>
      </c>
      <c r="C2" s="5" t="s">
        <v>13</v>
      </c>
      <c r="D2" s="1">
        <v>2006</v>
      </c>
      <c r="E2" s="6">
        <v>0.8691</v>
      </c>
      <c r="F2" s="6">
        <v>0.2174</v>
      </c>
      <c r="G2" s="4">
        <v>0.03</v>
      </c>
      <c r="H2" s="2">
        <f>(E2-G2)/F2</f>
        <v>3.85970561177553</v>
      </c>
    </row>
    <row r="3" spans="1:8">
      <c r="A3" s="5"/>
      <c r="B3" s="5"/>
      <c r="C3" s="5"/>
      <c r="D3" s="1">
        <v>2007</v>
      </c>
      <c r="E3" s="6">
        <v>1.9151</v>
      </c>
      <c r="F3" s="6">
        <v>0.4231</v>
      </c>
      <c r="G3" s="4">
        <v>0.03</v>
      </c>
      <c r="H3" s="2">
        <f t="shared" ref="H3:H21" si="0">(E3-G3)/F3</f>
        <v>4.45544788466084</v>
      </c>
    </row>
    <row r="4" spans="1:8">
      <c r="A4" s="5"/>
      <c r="B4" s="5"/>
      <c r="C4" s="5"/>
      <c r="D4" s="1">
        <v>2008</v>
      </c>
      <c r="E4" s="6">
        <v>-0.5433</v>
      </c>
      <c r="F4" s="6">
        <v>0.4752</v>
      </c>
      <c r="G4" s="4">
        <v>0.03</v>
      </c>
      <c r="H4" s="2">
        <f t="shared" si="0"/>
        <v>-1.20643939393939</v>
      </c>
    </row>
    <row r="5" spans="1:8">
      <c r="A5" s="5"/>
      <c r="B5" s="5"/>
      <c r="C5" s="5"/>
      <c r="D5" s="1">
        <v>2009</v>
      </c>
      <c r="E5" s="6">
        <v>1.0505</v>
      </c>
      <c r="F5" s="6">
        <v>0.3169</v>
      </c>
      <c r="G5" s="4">
        <v>0.03</v>
      </c>
      <c r="H5" s="2">
        <f t="shared" si="0"/>
        <v>3.22025875670558</v>
      </c>
    </row>
    <row r="6" spans="1:8">
      <c r="A6" s="5"/>
      <c r="B6" s="5"/>
      <c r="C6" s="5"/>
      <c r="D6" s="1">
        <v>2010</v>
      </c>
      <c r="E6" s="6">
        <v>-0.0611</v>
      </c>
      <c r="F6" s="6">
        <v>0.2198</v>
      </c>
      <c r="G6" s="4">
        <v>0.03</v>
      </c>
      <c r="H6" s="2">
        <f t="shared" si="0"/>
        <v>-0.414467697907188</v>
      </c>
    </row>
    <row r="7" spans="1:8">
      <c r="A7" s="5"/>
      <c r="B7" s="5"/>
      <c r="C7" s="5"/>
      <c r="D7" s="1">
        <v>2011</v>
      </c>
      <c r="E7" s="6">
        <v>-0.1854</v>
      </c>
      <c r="F7" s="6">
        <v>0.1725</v>
      </c>
      <c r="G7" s="4">
        <v>0.03</v>
      </c>
      <c r="H7" s="2">
        <f t="shared" si="0"/>
        <v>-1.24869565217391</v>
      </c>
    </row>
    <row r="8" spans="1:8">
      <c r="A8" s="5"/>
      <c r="B8" s="5"/>
      <c r="C8" s="5"/>
      <c r="D8" s="1">
        <v>2012</v>
      </c>
      <c r="E8" s="6">
        <v>0.0311</v>
      </c>
      <c r="F8" s="6">
        <v>0.1651</v>
      </c>
      <c r="G8" s="4">
        <v>0.03</v>
      </c>
      <c r="H8" s="2">
        <f t="shared" si="0"/>
        <v>0.0066626287098728</v>
      </c>
    </row>
    <row r="9" spans="1:8">
      <c r="A9" s="5"/>
      <c r="B9" s="5"/>
      <c r="C9" s="5"/>
      <c r="D9" s="1">
        <v>2013</v>
      </c>
      <c r="E9" s="6">
        <v>0.0377</v>
      </c>
      <c r="F9" s="6">
        <v>0.1808</v>
      </c>
      <c r="G9" s="4">
        <v>0.03</v>
      </c>
      <c r="H9" s="2">
        <f t="shared" si="0"/>
        <v>0.0425884955752212</v>
      </c>
    </row>
    <row r="10" spans="1:8">
      <c r="A10" s="5"/>
      <c r="B10" s="5"/>
      <c r="C10" s="5"/>
      <c r="D10" s="1">
        <v>2014</v>
      </c>
      <c r="E10" s="6">
        <v>0.6661</v>
      </c>
      <c r="F10" s="6">
        <v>0.1794</v>
      </c>
      <c r="G10" s="4">
        <v>0.03</v>
      </c>
      <c r="H10" s="2">
        <f t="shared" si="0"/>
        <v>3.54570791527313</v>
      </c>
    </row>
    <row r="11" spans="1:8">
      <c r="A11" s="5"/>
      <c r="B11" s="5"/>
      <c r="C11" s="5"/>
      <c r="D11" s="1">
        <v>2015</v>
      </c>
      <c r="E11" s="6">
        <v>0.2597</v>
      </c>
      <c r="F11" s="6">
        <v>0.4025</v>
      </c>
      <c r="G11" s="4">
        <v>0.03</v>
      </c>
      <c r="H11" s="2">
        <f t="shared" si="0"/>
        <v>0.570683229813664</v>
      </c>
    </row>
    <row r="12" spans="1:8">
      <c r="A12" s="5"/>
      <c r="B12" s="5"/>
      <c r="C12" s="5"/>
      <c r="D12" s="1">
        <v>2016</v>
      </c>
      <c r="E12" s="6">
        <v>-0.0142</v>
      </c>
      <c r="F12" s="6">
        <v>0.2006</v>
      </c>
      <c r="G12" s="4">
        <v>0.03</v>
      </c>
      <c r="H12" s="2">
        <f t="shared" si="0"/>
        <v>-0.220338983050847</v>
      </c>
    </row>
    <row r="13" spans="1:8">
      <c r="A13" s="5"/>
      <c r="B13" s="5"/>
      <c r="C13" s="5"/>
      <c r="D13" s="1">
        <v>2017</v>
      </c>
      <c r="E13" s="6">
        <v>0.1203</v>
      </c>
      <c r="F13" s="6">
        <v>0.0751</v>
      </c>
      <c r="G13" s="4">
        <v>0.03</v>
      </c>
      <c r="H13" s="2">
        <f t="shared" si="0"/>
        <v>1.20239680426099</v>
      </c>
    </row>
    <row r="14" spans="1:8">
      <c r="A14" s="5"/>
      <c r="B14" s="5"/>
      <c r="C14" s="5"/>
      <c r="D14" s="1">
        <v>2018</v>
      </c>
      <c r="E14" s="6">
        <v>-0.1699</v>
      </c>
      <c r="F14" s="6">
        <v>0.1711</v>
      </c>
      <c r="G14" s="4">
        <v>0.03</v>
      </c>
      <c r="H14" s="2">
        <f t="shared" si="0"/>
        <v>-1.16832261835184</v>
      </c>
    </row>
    <row r="15" spans="1:8">
      <c r="A15" s="5"/>
      <c r="B15" s="5"/>
      <c r="C15" s="5"/>
      <c r="D15" s="1">
        <v>2019</v>
      </c>
      <c r="E15" s="6">
        <v>0.1243</v>
      </c>
      <c r="F15" s="6">
        <v>0.161</v>
      </c>
      <c r="G15" s="4">
        <v>0.03</v>
      </c>
      <c r="H15" s="2">
        <f t="shared" si="0"/>
        <v>0.585714285714286</v>
      </c>
    </row>
    <row r="16" spans="1:8">
      <c r="A16" s="5"/>
      <c r="B16" s="5"/>
      <c r="C16" s="5"/>
      <c r="D16" s="1">
        <v>2020</v>
      </c>
      <c r="E16" s="6">
        <v>-0.0198</v>
      </c>
      <c r="F16" s="6">
        <v>0.1889</v>
      </c>
      <c r="G16" s="4">
        <v>0.03</v>
      </c>
      <c r="H16" s="2">
        <f t="shared" si="0"/>
        <v>-0.26363155108523</v>
      </c>
    </row>
    <row r="17" spans="1:8">
      <c r="A17" s="5"/>
      <c r="B17" s="5"/>
      <c r="C17" s="5"/>
      <c r="D17" s="1">
        <v>2021</v>
      </c>
      <c r="E17" s="6">
        <v>0.139</v>
      </c>
      <c r="F17" s="6">
        <v>0.1337</v>
      </c>
      <c r="G17" s="4">
        <v>0.03</v>
      </c>
      <c r="H17" s="2">
        <f t="shared" si="0"/>
        <v>0.815258040388931</v>
      </c>
    </row>
    <row r="18" spans="1:8">
      <c r="A18" s="5"/>
      <c r="B18" s="5"/>
      <c r="C18" s="5"/>
      <c r="D18" s="1">
        <v>2022</v>
      </c>
      <c r="E18" s="6">
        <v>-0.0392</v>
      </c>
      <c r="F18" s="6">
        <v>0.1729</v>
      </c>
      <c r="G18" s="4">
        <v>0.03</v>
      </c>
      <c r="H18" s="2">
        <f t="shared" si="0"/>
        <v>-0.400231347599769</v>
      </c>
    </row>
    <row r="19" spans="1:8">
      <c r="A19" s="5"/>
      <c r="B19" s="5"/>
      <c r="C19" s="5"/>
      <c r="D19" s="1">
        <v>2023</v>
      </c>
      <c r="E19" s="6">
        <v>0.0874</v>
      </c>
      <c r="F19" s="6">
        <v>0.1134</v>
      </c>
      <c r="G19" s="4">
        <v>0.03</v>
      </c>
      <c r="H19" s="2">
        <f t="shared" si="0"/>
        <v>0.506172839506173</v>
      </c>
    </row>
    <row r="20" spans="1:8">
      <c r="A20" s="5"/>
      <c r="B20" s="5"/>
      <c r="C20" s="5"/>
      <c r="D20" s="1">
        <v>2024</v>
      </c>
      <c r="E20" s="6">
        <v>0.127</v>
      </c>
      <c r="F20" s="6">
        <v>0.1891</v>
      </c>
      <c r="G20" s="4">
        <v>0.03</v>
      </c>
      <c r="H20" s="2">
        <f t="shared" si="0"/>
        <v>0.512956107879429</v>
      </c>
    </row>
    <row r="21" spans="1:8">
      <c r="A21" s="5"/>
      <c r="B21" s="5"/>
      <c r="C21" s="5"/>
      <c r="D21" s="1">
        <v>2025</v>
      </c>
      <c r="E21" s="6">
        <v>-0.0071</v>
      </c>
      <c r="F21" s="6">
        <v>0.1131</v>
      </c>
      <c r="G21" s="4">
        <v>0.03</v>
      </c>
      <c r="H21" s="2">
        <f t="shared" si="0"/>
        <v>-0.328028293545535</v>
      </c>
    </row>
  </sheetData>
  <mergeCells count="3">
    <mergeCell ref="A2:A21"/>
    <mergeCell ref="B2:B21"/>
    <mergeCell ref="C2:C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$A1:$XFD1048576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5" t="s">
        <v>14</v>
      </c>
      <c r="B2" s="5" t="s">
        <v>15</v>
      </c>
      <c r="C2" s="5" t="s">
        <v>16</v>
      </c>
      <c r="D2" s="1">
        <v>2005</v>
      </c>
      <c r="E2" s="6">
        <v>-0.1219</v>
      </c>
      <c r="F2" s="6">
        <v>0.2102</v>
      </c>
      <c r="G2" s="4">
        <v>0.03</v>
      </c>
      <c r="H2" s="2">
        <f t="shared" ref="H2:H22" si="0">(E2-G2)/F2</f>
        <v>-0.722645099904852</v>
      </c>
    </row>
    <row r="3" spans="1:8">
      <c r="A3" s="5"/>
      <c r="B3" s="5"/>
      <c r="C3" s="5"/>
      <c r="D3" s="1">
        <v>2006</v>
      </c>
      <c r="E3" s="6">
        <v>0.8476</v>
      </c>
      <c r="F3" s="6">
        <v>0.2233</v>
      </c>
      <c r="G3" s="4">
        <v>0.03</v>
      </c>
      <c r="H3" s="2">
        <f t="shared" si="0"/>
        <v>3.66144200626959</v>
      </c>
    </row>
    <row r="4" spans="1:8">
      <c r="A4" s="5"/>
      <c r="B4" s="5"/>
      <c r="C4" s="5"/>
      <c r="D4" s="1">
        <v>2007</v>
      </c>
      <c r="E4" s="6">
        <v>1.9891</v>
      </c>
      <c r="F4" s="6">
        <v>0.4214</v>
      </c>
      <c r="G4" s="4">
        <v>0.03</v>
      </c>
      <c r="H4" s="2">
        <f t="shared" si="0"/>
        <v>4.64902705268154</v>
      </c>
    </row>
    <row r="5" spans="1:8">
      <c r="A5" s="5"/>
      <c r="B5" s="5"/>
      <c r="C5" s="5"/>
      <c r="D5" s="1">
        <v>2008</v>
      </c>
      <c r="E5" s="6">
        <v>-0.6015</v>
      </c>
      <c r="F5" s="6">
        <v>0.4605</v>
      </c>
      <c r="G5" s="4">
        <v>0.03</v>
      </c>
      <c r="H5" s="2">
        <f t="shared" si="0"/>
        <v>-1.37133550488599</v>
      </c>
    </row>
    <row r="6" spans="1:8">
      <c r="A6" s="5"/>
      <c r="B6" s="5"/>
      <c r="C6" s="5"/>
      <c r="D6" s="1">
        <v>2009</v>
      </c>
      <c r="E6" s="6">
        <v>0.985</v>
      </c>
      <c r="F6" s="6">
        <v>0.3318</v>
      </c>
      <c r="G6" s="4">
        <v>0.03</v>
      </c>
      <c r="H6" s="2">
        <f t="shared" si="0"/>
        <v>2.87823990355636</v>
      </c>
    </row>
    <row r="7" spans="1:8">
      <c r="A7" s="5"/>
      <c r="B7" s="5"/>
      <c r="C7" s="5"/>
      <c r="D7" s="1">
        <v>2010</v>
      </c>
      <c r="E7" s="6">
        <v>-0.0966</v>
      </c>
      <c r="F7" s="6">
        <v>0.2307</v>
      </c>
      <c r="G7" s="4">
        <v>0.03</v>
      </c>
      <c r="H7" s="2">
        <f t="shared" si="0"/>
        <v>-0.548764629388817</v>
      </c>
    </row>
    <row r="8" spans="1:8">
      <c r="A8" s="5"/>
      <c r="B8" s="5"/>
      <c r="C8" s="5"/>
      <c r="D8" s="1">
        <v>2011</v>
      </c>
      <c r="E8" s="6">
        <v>-0.1895</v>
      </c>
      <c r="F8" s="6">
        <v>0.1729</v>
      </c>
      <c r="G8" s="4">
        <v>0.03</v>
      </c>
      <c r="H8" s="2">
        <f t="shared" si="0"/>
        <v>-1.26951995373048</v>
      </c>
    </row>
    <row r="9" spans="1:8">
      <c r="A9" s="5"/>
      <c r="B9" s="5"/>
      <c r="C9" s="5"/>
      <c r="D9" s="1">
        <v>2012</v>
      </c>
      <c r="E9" s="6">
        <v>0.0178</v>
      </c>
      <c r="F9" s="6">
        <v>0.1647</v>
      </c>
      <c r="G9" s="4">
        <v>0.03</v>
      </c>
      <c r="H9" s="2">
        <f t="shared" si="0"/>
        <v>-0.0740740740740741</v>
      </c>
    </row>
    <row r="10" spans="1:8">
      <c r="A10" s="5"/>
      <c r="B10" s="5"/>
      <c r="C10" s="5"/>
      <c r="D10" s="1">
        <v>2013</v>
      </c>
      <c r="E10" s="6">
        <v>-0.0505</v>
      </c>
      <c r="F10" s="6">
        <v>0.183</v>
      </c>
      <c r="G10" s="4">
        <v>0.03</v>
      </c>
      <c r="H10" s="2">
        <f t="shared" si="0"/>
        <v>-0.439890710382514</v>
      </c>
    </row>
    <row r="11" spans="1:8">
      <c r="A11" s="5"/>
      <c r="B11" s="5"/>
      <c r="C11" s="5"/>
      <c r="D11" s="1">
        <v>2014</v>
      </c>
      <c r="E11" s="6">
        <v>0.7205</v>
      </c>
      <c r="F11" s="6">
        <v>0.1971</v>
      </c>
      <c r="G11" s="4">
        <v>0.03</v>
      </c>
      <c r="H11" s="2">
        <f t="shared" si="0"/>
        <v>3.50329781836631</v>
      </c>
    </row>
    <row r="12" spans="1:8">
      <c r="A12" s="5"/>
      <c r="B12" s="5"/>
      <c r="C12" s="5"/>
      <c r="D12" s="1">
        <v>2015</v>
      </c>
      <c r="E12" s="6">
        <v>0.1305</v>
      </c>
      <c r="F12" s="6">
        <v>0.3794</v>
      </c>
      <c r="G12" s="4">
        <v>0.03</v>
      </c>
      <c r="H12" s="2">
        <f t="shared" si="0"/>
        <v>0.264891934633632</v>
      </c>
    </row>
    <row r="13" spans="1:8">
      <c r="A13" s="5"/>
      <c r="B13" s="5"/>
      <c r="C13" s="5"/>
      <c r="D13" s="1">
        <v>2016</v>
      </c>
      <c r="E13" s="6">
        <v>0.0041</v>
      </c>
      <c r="F13" s="6">
        <v>0.169</v>
      </c>
      <c r="G13" s="4">
        <v>0.03</v>
      </c>
      <c r="H13" s="2">
        <f t="shared" si="0"/>
        <v>-0.153254437869822</v>
      </c>
    </row>
    <row r="14" spans="1:8">
      <c r="A14" s="5"/>
      <c r="B14" s="5"/>
      <c r="C14" s="5"/>
      <c r="D14" s="1">
        <v>2017</v>
      </c>
      <c r="E14" s="6">
        <v>0.2142</v>
      </c>
      <c r="F14" s="6">
        <v>0.0881</v>
      </c>
      <c r="G14" s="4">
        <v>0.03</v>
      </c>
      <c r="H14" s="2">
        <f t="shared" si="0"/>
        <v>2.09080590238365</v>
      </c>
    </row>
    <row r="15" spans="1:8">
      <c r="A15" s="5"/>
      <c r="B15" s="5"/>
      <c r="C15" s="5"/>
      <c r="D15" s="1">
        <v>2018</v>
      </c>
      <c r="E15" s="6">
        <v>-0.1918</v>
      </c>
      <c r="F15" s="6">
        <v>0.1772</v>
      </c>
      <c r="G15" s="4">
        <v>0.03</v>
      </c>
      <c r="H15" s="2">
        <f t="shared" si="0"/>
        <v>-1.25169300225734</v>
      </c>
    </row>
    <row r="16" spans="1:8">
      <c r="A16" s="5"/>
      <c r="B16" s="5"/>
      <c r="C16" s="5"/>
      <c r="D16" s="1">
        <v>2019</v>
      </c>
      <c r="E16" s="6">
        <v>0.1591</v>
      </c>
      <c r="F16" s="6">
        <v>0.1642</v>
      </c>
      <c r="G16" s="4">
        <v>0.03</v>
      </c>
      <c r="H16" s="2">
        <f t="shared" si="0"/>
        <v>0.786236297198538</v>
      </c>
    </row>
    <row r="17" spans="1:8">
      <c r="A17" s="5"/>
      <c r="B17" s="5"/>
      <c r="C17" s="5"/>
      <c r="D17" s="1">
        <v>2020</v>
      </c>
      <c r="E17" s="6">
        <v>-0.0705</v>
      </c>
      <c r="F17" s="6">
        <v>0.1821</v>
      </c>
      <c r="G17" s="4">
        <v>0.03</v>
      </c>
      <c r="H17" s="2">
        <f t="shared" si="0"/>
        <v>-0.551894563426689</v>
      </c>
    </row>
    <row r="18" spans="1:8">
      <c r="A18" s="5"/>
      <c r="B18" s="5"/>
      <c r="C18" s="5"/>
      <c r="D18" s="1">
        <v>2021</v>
      </c>
      <c r="E18" s="6">
        <v>0.0542</v>
      </c>
      <c r="F18" s="6">
        <v>0.133</v>
      </c>
      <c r="G18" s="4">
        <v>0.03</v>
      </c>
      <c r="H18" s="2">
        <f t="shared" si="0"/>
        <v>0.181954887218045</v>
      </c>
    </row>
    <row r="19" spans="1:8">
      <c r="A19" s="5"/>
      <c r="B19" s="5"/>
      <c r="C19" s="5"/>
      <c r="D19" s="1">
        <v>2022</v>
      </c>
      <c r="E19" s="6">
        <v>-0.0588</v>
      </c>
      <c r="F19" s="6">
        <v>0.1612</v>
      </c>
      <c r="G19" s="4">
        <v>0.03</v>
      </c>
      <c r="H19" s="2">
        <f t="shared" si="0"/>
        <v>-0.550868486352357</v>
      </c>
    </row>
    <row r="20" spans="1:8">
      <c r="A20" s="5"/>
      <c r="B20" s="5"/>
      <c r="C20" s="5"/>
      <c r="D20" s="1">
        <v>2023</v>
      </c>
      <c r="E20" s="6">
        <v>0.1024</v>
      </c>
      <c r="F20" s="6">
        <v>0.1308</v>
      </c>
      <c r="G20" s="4">
        <v>0.03</v>
      </c>
      <c r="H20" s="2">
        <f t="shared" si="0"/>
        <v>0.553516819571865</v>
      </c>
    </row>
    <row r="21" spans="1:8">
      <c r="A21" s="5"/>
      <c r="B21" s="5"/>
      <c r="C21" s="5"/>
      <c r="D21" s="1">
        <v>2024</v>
      </c>
      <c r="E21" s="6">
        <v>0.237</v>
      </c>
      <c r="F21" s="6">
        <v>0.1531</v>
      </c>
      <c r="G21" s="4">
        <v>0.03</v>
      </c>
      <c r="H21" s="2">
        <f t="shared" si="0"/>
        <v>1.35205747877204</v>
      </c>
    </row>
    <row r="22" spans="1:8">
      <c r="A22" s="5"/>
      <c r="B22" s="5"/>
      <c r="C22" s="5"/>
      <c r="D22" s="1">
        <v>2025</v>
      </c>
      <c r="E22" s="6">
        <v>-0.0546</v>
      </c>
      <c r="F22" s="6">
        <v>0.1032</v>
      </c>
      <c r="G22" s="4">
        <v>0.03</v>
      </c>
      <c r="H22" s="2">
        <f t="shared" si="0"/>
        <v>-0.819767441860465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.02654867256637" defaultRowHeight="13.5" outlineLevelCol="7"/>
  <cols>
    <col min="1" max="1" width="9.24778761061947" style="1" customWidth="1"/>
    <col min="2" max="2" width="23.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5" t="s">
        <v>17</v>
      </c>
      <c r="B2" s="5" t="s">
        <v>18</v>
      </c>
      <c r="C2" s="5" t="s">
        <v>19</v>
      </c>
      <c r="D2" s="1">
        <v>2014</v>
      </c>
      <c r="E2" s="6">
        <v>0.5599</v>
      </c>
      <c r="F2" s="6">
        <v>0.1837</v>
      </c>
      <c r="G2" s="4">
        <v>0.03</v>
      </c>
      <c r="H2" s="2">
        <f t="shared" ref="H2:H13" si="0">(E2-G2)/F2</f>
        <v>2.8845944474687</v>
      </c>
    </row>
    <row r="3" spans="1:8">
      <c r="A3" s="5"/>
      <c r="B3" s="5"/>
      <c r="C3" s="5"/>
      <c r="D3" s="1">
        <v>2015</v>
      </c>
      <c r="E3" s="6">
        <v>0.3793</v>
      </c>
      <c r="F3" s="6">
        <v>0.4946</v>
      </c>
      <c r="G3" s="4">
        <v>0.03</v>
      </c>
      <c r="H3" s="2">
        <f t="shared" si="0"/>
        <v>0.706227254346947</v>
      </c>
    </row>
    <row r="4" spans="1:8">
      <c r="A4" s="5"/>
      <c r="B4" s="5"/>
      <c r="C4" s="5"/>
      <c r="D4" s="1">
        <v>2016</v>
      </c>
      <c r="E4" s="6">
        <v>-0.0498</v>
      </c>
      <c r="F4" s="6">
        <v>0.2669</v>
      </c>
      <c r="G4" s="4">
        <v>0.03</v>
      </c>
      <c r="H4" s="2">
        <f t="shared" si="0"/>
        <v>-0.298988385162982</v>
      </c>
    </row>
    <row r="5" spans="1:8">
      <c r="A5" s="5"/>
      <c r="B5" s="5"/>
      <c r="C5" s="5"/>
      <c r="D5" s="1">
        <v>2017</v>
      </c>
      <c r="E5" s="6">
        <v>-0.0415</v>
      </c>
      <c r="F5" s="6">
        <v>0.1271</v>
      </c>
      <c r="G5" s="4">
        <v>0.03</v>
      </c>
      <c r="H5" s="2">
        <f t="shared" si="0"/>
        <v>-0.562549173878836</v>
      </c>
    </row>
    <row r="6" spans="1:8">
      <c r="A6" s="5"/>
      <c r="B6" s="5"/>
      <c r="C6" s="5"/>
      <c r="D6" s="1">
        <v>2018</v>
      </c>
      <c r="E6" s="6">
        <v>-0.212</v>
      </c>
      <c r="F6" s="6">
        <v>0.2107</v>
      </c>
      <c r="G6" s="4">
        <v>0.03</v>
      </c>
      <c r="H6" s="2">
        <f t="shared" si="0"/>
        <v>-1.14855244423351</v>
      </c>
    </row>
    <row r="7" spans="1:8">
      <c r="A7" s="5"/>
      <c r="B7" s="5"/>
      <c r="C7" s="5"/>
      <c r="D7" s="1">
        <v>2019</v>
      </c>
      <c r="E7" s="6">
        <v>0.1587</v>
      </c>
      <c r="F7" s="6">
        <v>0.1949</v>
      </c>
      <c r="G7" s="4">
        <v>0.03</v>
      </c>
      <c r="H7" s="2">
        <f t="shared" si="0"/>
        <v>0.660338635197537</v>
      </c>
    </row>
    <row r="8" spans="1:8">
      <c r="A8" s="5"/>
      <c r="B8" s="5"/>
      <c r="C8" s="5"/>
      <c r="D8" s="1">
        <v>2020</v>
      </c>
      <c r="E8" s="6">
        <v>0.1082</v>
      </c>
      <c r="F8" s="6">
        <v>0.217</v>
      </c>
      <c r="G8" s="4">
        <v>0.03</v>
      </c>
      <c r="H8" s="2">
        <f t="shared" si="0"/>
        <v>0.36036866359447</v>
      </c>
    </row>
    <row r="9" spans="1:8">
      <c r="A9" s="5"/>
      <c r="B9" s="5"/>
      <c r="C9" s="5"/>
      <c r="D9" s="1">
        <v>2021</v>
      </c>
      <c r="E9" s="6">
        <v>0.3246</v>
      </c>
      <c r="F9" s="6">
        <v>0.1628</v>
      </c>
      <c r="G9" s="4">
        <v>0.03</v>
      </c>
      <c r="H9" s="2">
        <f t="shared" si="0"/>
        <v>1.80958230958231</v>
      </c>
    </row>
    <row r="10" spans="1:8">
      <c r="A10" s="5"/>
      <c r="B10" s="5"/>
      <c r="C10" s="5"/>
      <c r="D10" s="1">
        <v>2022</v>
      </c>
      <c r="E10" s="6">
        <v>-0.0484</v>
      </c>
      <c r="F10" s="6">
        <v>0.1898</v>
      </c>
      <c r="G10" s="4">
        <v>0.03</v>
      </c>
      <c r="H10" s="2">
        <f t="shared" si="0"/>
        <v>-0.413066385669125</v>
      </c>
    </row>
    <row r="11" spans="1:8">
      <c r="A11" s="5"/>
      <c r="B11" s="5"/>
      <c r="C11" s="5"/>
      <c r="D11" s="1">
        <v>2023</v>
      </c>
      <c r="E11" s="6">
        <v>0.0533</v>
      </c>
      <c r="F11" s="6">
        <v>0.1146</v>
      </c>
      <c r="G11" s="4">
        <v>0.03</v>
      </c>
      <c r="H11" s="2">
        <f t="shared" si="0"/>
        <v>0.203315881326353</v>
      </c>
    </row>
    <row r="12" spans="1:8">
      <c r="A12" s="5"/>
      <c r="B12" s="5"/>
      <c r="C12" s="5"/>
      <c r="D12" s="1">
        <v>2024</v>
      </c>
      <c r="E12" s="6">
        <v>0.166</v>
      </c>
      <c r="F12" s="6">
        <v>0.2079</v>
      </c>
      <c r="G12" s="4">
        <v>0.03</v>
      </c>
      <c r="H12" s="2">
        <f t="shared" si="0"/>
        <v>0.654160654160654</v>
      </c>
    </row>
    <row r="13" spans="1:8">
      <c r="A13" s="5"/>
      <c r="B13" s="5"/>
      <c r="C13" s="5"/>
      <c r="D13" s="1">
        <v>2025</v>
      </c>
      <c r="E13" s="6">
        <v>0.0497</v>
      </c>
      <c r="F13" s="6">
        <v>0.125</v>
      </c>
      <c r="G13" s="4">
        <v>0.03</v>
      </c>
      <c r="H13" s="2">
        <f t="shared" si="0"/>
        <v>0.1576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18" sqref="I18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5" t="s">
        <v>20</v>
      </c>
      <c r="B2" s="5" t="s">
        <v>21</v>
      </c>
      <c r="C2" s="5" t="s">
        <v>22</v>
      </c>
      <c r="D2" s="1">
        <v>2014</v>
      </c>
      <c r="E2" s="6">
        <v>0.412</v>
      </c>
      <c r="F2" s="6">
        <v>0.2077</v>
      </c>
      <c r="G2" s="4">
        <v>0.03</v>
      </c>
      <c r="H2" s="2">
        <f>(E2-G2)/F2</f>
        <v>1.83919114106885</v>
      </c>
    </row>
    <row r="3" spans="1:8">
      <c r="A3" s="5"/>
      <c r="B3" s="5"/>
      <c r="C3" s="5"/>
      <c r="D3" s="1">
        <v>2015</v>
      </c>
      <c r="E3" s="6">
        <v>0.6636</v>
      </c>
      <c r="F3" s="6">
        <v>0.4769</v>
      </c>
      <c r="G3" s="4">
        <v>0.03</v>
      </c>
      <c r="H3" s="2">
        <f t="shared" ref="H3:H13" si="0">(E3-G3)/F3</f>
        <v>1.32858041518138</v>
      </c>
    </row>
    <row r="4" spans="1:8">
      <c r="A4" s="5"/>
      <c r="B4" s="5"/>
      <c r="C4" s="5"/>
      <c r="D4" s="1">
        <v>2016</v>
      </c>
      <c r="E4" s="6">
        <v>-0.0712</v>
      </c>
      <c r="F4" s="6">
        <v>0.292</v>
      </c>
      <c r="G4" s="4">
        <v>0.03</v>
      </c>
      <c r="H4" s="2">
        <f t="shared" si="0"/>
        <v>-0.346575342465753</v>
      </c>
    </row>
    <row r="5" spans="1:8">
      <c r="A5" s="5"/>
      <c r="B5" s="5"/>
      <c r="C5" s="5"/>
      <c r="D5" s="1">
        <v>2017</v>
      </c>
      <c r="E5" s="6">
        <v>-0.0925</v>
      </c>
      <c r="F5" s="6">
        <v>0.1436</v>
      </c>
      <c r="G5" s="4">
        <v>0.03</v>
      </c>
      <c r="H5" s="2">
        <f t="shared" si="0"/>
        <v>-0.853064066852368</v>
      </c>
    </row>
    <row r="6" spans="1:8">
      <c r="A6" s="5"/>
      <c r="B6" s="5"/>
      <c r="C6" s="5"/>
      <c r="D6" s="1">
        <v>2018</v>
      </c>
      <c r="E6" s="6">
        <v>-0.2691</v>
      </c>
      <c r="F6" s="6">
        <v>0.2048</v>
      </c>
      <c r="G6" s="4">
        <v>0.03</v>
      </c>
      <c r="H6" s="2">
        <f t="shared" si="0"/>
        <v>-1.46044921875</v>
      </c>
    </row>
    <row r="7" spans="1:8">
      <c r="A7" s="5"/>
      <c r="B7" s="5"/>
      <c r="C7" s="5"/>
      <c r="D7" s="1">
        <v>2019</v>
      </c>
      <c r="E7" s="6">
        <v>0.2507</v>
      </c>
      <c r="F7" s="6">
        <v>0.2033</v>
      </c>
      <c r="G7" s="4">
        <v>0.03</v>
      </c>
      <c r="H7" s="2">
        <f t="shared" si="0"/>
        <v>1.0855878012789</v>
      </c>
    </row>
    <row r="8" spans="1:8">
      <c r="A8" s="5"/>
      <c r="B8" s="5"/>
      <c r="C8" s="5"/>
      <c r="D8" s="1">
        <v>2020</v>
      </c>
      <c r="E8" s="6">
        <v>0.0792</v>
      </c>
      <c r="F8" s="6">
        <v>0.2161</v>
      </c>
      <c r="G8" s="4">
        <v>0.03</v>
      </c>
      <c r="H8" s="2">
        <f t="shared" si="0"/>
        <v>0.227672373900972</v>
      </c>
    </row>
    <row r="9" spans="1:8">
      <c r="A9" s="5"/>
      <c r="B9" s="5"/>
      <c r="C9" s="5"/>
      <c r="D9" s="1">
        <v>2021</v>
      </c>
      <c r="E9" s="6">
        <v>0.2215</v>
      </c>
      <c r="F9" s="6">
        <v>0.1614</v>
      </c>
      <c r="G9" s="4">
        <v>0.03</v>
      </c>
      <c r="H9" s="2">
        <f t="shared" si="0"/>
        <v>1.18649318463445</v>
      </c>
    </row>
    <row r="10" spans="1:8">
      <c r="A10" s="5"/>
      <c r="B10" s="5"/>
      <c r="C10" s="5"/>
      <c r="D10" s="1">
        <v>2022</v>
      </c>
      <c r="E10" s="6">
        <v>-0.0697</v>
      </c>
      <c r="F10" s="6">
        <v>0.2085</v>
      </c>
      <c r="G10" s="4">
        <v>0.03</v>
      </c>
      <c r="H10" s="2">
        <f t="shared" si="0"/>
        <v>-0.478177458033573</v>
      </c>
    </row>
    <row r="11" spans="1:8">
      <c r="A11" s="5"/>
      <c r="B11" s="5"/>
      <c r="C11" s="5"/>
      <c r="D11" s="1">
        <v>2023</v>
      </c>
      <c r="E11" s="6">
        <v>0.0458</v>
      </c>
      <c r="F11" s="6">
        <v>0.1095</v>
      </c>
      <c r="G11" s="4">
        <v>0.03</v>
      </c>
      <c r="H11" s="2">
        <f t="shared" si="0"/>
        <v>0.144292237442922</v>
      </c>
    </row>
    <row r="12" spans="1:8">
      <c r="A12" s="5"/>
      <c r="B12" s="5"/>
      <c r="C12" s="5"/>
      <c r="D12" s="1">
        <v>2024</v>
      </c>
      <c r="E12" s="6">
        <v>0.0704</v>
      </c>
      <c r="F12" s="6">
        <v>0.2354</v>
      </c>
      <c r="G12" s="4">
        <v>0.03</v>
      </c>
      <c r="H12" s="2">
        <f t="shared" si="0"/>
        <v>0.171622769753611</v>
      </c>
    </row>
    <row r="13" spans="1:8">
      <c r="A13" s="5"/>
      <c r="B13" s="5"/>
      <c r="C13" s="5"/>
      <c r="D13" s="1">
        <v>2025</v>
      </c>
      <c r="E13" s="6">
        <v>0.0464</v>
      </c>
      <c r="F13" s="6">
        <v>0.1352</v>
      </c>
      <c r="G13" s="4">
        <v>0.03</v>
      </c>
      <c r="H13" s="2">
        <f t="shared" si="0"/>
        <v>0.121301775147929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.02654867256637" defaultRowHeight="13.5" outlineLevelCol="7"/>
  <cols>
    <col min="1" max="1" width="9.24778761061947" style="1" customWidth="1"/>
    <col min="2" max="2" width="24.4159292035398" style="1" customWidth="1"/>
    <col min="3" max="3" width="13.646017699115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5" t="s">
        <v>23</v>
      </c>
      <c r="B2" s="5" t="s">
        <v>24</v>
      </c>
      <c r="C2" s="5" t="s">
        <v>25</v>
      </c>
      <c r="D2" s="1">
        <v>2014</v>
      </c>
      <c r="E2" s="6">
        <v>0.6651</v>
      </c>
      <c r="F2" s="6">
        <v>0.1772</v>
      </c>
      <c r="G2" s="4">
        <v>0.03</v>
      </c>
      <c r="H2" s="2">
        <f>(E2-G2)/F2</f>
        <v>3.58408577878104</v>
      </c>
    </row>
    <row r="3" spans="1:8">
      <c r="A3" s="5"/>
      <c r="B3" s="5"/>
      <c r="C3" s="5"/>
      <c r="D3" s="1">
        <v>2015</v>
      </c>
      <c r="E3" s="6">
        <v>0.0793</v>
      </c>
      <c r="F3" s="6">
        <v>0.3949</v>
      </c>
      <c r="G3" s="4">
        <v>0.03</v>
      </c>
      <c r="H3" s="2">
        <f t="shared" ref="H3:H13" si="0">(E3-G3)/F3</f>
        <v>0.124841732084072</v>
      </c>
    </row>
    <row r="4" spans="1:8">
      <c r="A4" s="5"/>
      <c r="B4" s="5"/>
      <c r="C4" s="5"/>
      <c r="D4" s="1">
        <v>2016</v>
      </c>
      <c r="E4" s="6">
        <v>0.0035</v>
      </c>
      <c r="F4" s="6">
        <v>0.1772</v>
      </c>
      <c r="G4" s="4">
        <v>0.03</v>
      </c>
      <c r="H4" s="2">
        <f t="shared" si="0"/>
        <v>-0.149548532731377</v>
      </c>
    </row>
    <row r="5" spans="1:8">
      <c r="A5" s="5"/>
      <c r="B5" s="5"/>
      <c r="C5" s="5"/>
      <c r="D5" s="1">
        <v>2017</v>
      </c>
      <c r="E5" s="6">
        <v>0.2233</v>
      </c>
      <c r="F5" s="6">
        <v>0.0802</v>
      </c>
      <c r="G5" s="4">
        <v>0.03</v>
      </c>
      <c r="H5" s="2">
        <f t="shared" si="0"/>
        <v>2.41022443890274</v>
      </c>
    </row>
    <row r="6" spans="1:8">
      <c r="A6" s="5"/>
      <c r="B6" s="5"/>
      <c r="C6" s="5"/>
      <c r="D6" s="1">
        <v>2018</v>
      </c>
      <c r="E6" s="6">
        <v>-0.1155</v>
      </c>
      <c r="F6" s="6">
        <v>0.1601</v>
      </c>
      <c r="G6" s="4">
        <v>0.03</v>
      </c>
      <c r="H6" s="2">
        <f t="shared" si="0"/>
        <v>-0.908806995627733</v>
      </c>
    </row>
    <row r="7" spans="1:8">
      <c r="A7" s="5"/>
      <c r="B7" s="5"/>
      <c r="C7" s="5"/>
      <c r="D7" s="1">
        <v>2019</v>
      </c>
      <c r="E7" s="6">
        <v>0.1213</v>
      </c>
      <c r="F7" s="6">
        <v>0.1514</v>
      </c>
      <c r="G7" s="4">
        <v>0.03</v>
      </c>
      <c r="H7" s="2">
        <f t="shared" si="0"/>
        <v>0.603038309114927</v>
      </c>
    </row>
    <row r="8" spans="1:8">
      <c r="A8" s="5"/>
      <c r="B8" s="5"/>
      <c r="C8" s="5"/>
      <c r="D8" s="1">
        <v>2020</v>
      </c>
      <c r="E8" s="6">
        <v>-0.0446</v>
      </c>
      <c r="F8" s="6">
        <v>0.1882</v>
      </c>
      <c r="G8" s="4">
        <v>0.03</v>
      </c>
      <c r="H8" s="2">
        <f t="shared" si="0"/>
        <v>-0.396386822529224</v>
      </c>
    </row>
    <row r="9" spans="1:8">
      <c r="A9" s="5"/>
      <c r="B9" s="5"/>
      <c r="C9" s="5"/>
      <c r="D9" s="1">
        <v>2021</v>
      </c>
      <c r="E9" s="6">
        <v>0.156</v>
      </c>
      <c r="F9" s="6">
        <v>0.1522</v>
      </c>
      <c r="G9" s="4">
        <v>0.03</v>
      </c>
      <c r="H9" s="2">
        <f t="shared" si="0"/>
        <v>0.827858081471748</v>
      </c>
    </row>
    <row r="10" spans="1:8">
      <c r="A10" s="5"/>
      <c r="B10" s="5"/>
      <c r="C10" s="5"/>
      <c r="D10" s="1">
        <v>2022</v>
      </c>
      <c r="E10" s="6">
        <v>-0.0395</v>
      </c>
      <c r="F10" s="6">
        <v>0.17</v>
      </c>
      <c r="G10" s="4">
        <v>0.03</v>
      </c>
      <c r="H10" s="2">
        <f t="shared" si="0"/>
        <v>-0.408823529411765</v>
      </c>
    </row>
    <row r="11" spans="1:8">
      <c r="A11" s="5"/>
      <c r="B11" s="5"/>
      <c r="C11" s="5"/>
      <c r="D11" s="1">
        <v>2023</v>
      </c>
      <c r="E11" s="6">
        <v>0.0701</v>
      </c>
      <c r="F11" s="6">
        <v>0.1181</v>
      </c>
      <c r="G11" s="4">
        <v>0.03</v>
      </c>
      <c r="H11" s="2">
        <f t="shared" si="0"/>
        <v>0.339542760372566</v>
      </c>
    </row>
    <row r="12" spans="1:8">
      <c r="A12" s="5"/>
      <c r="B12" s="5"/>
      <c r="C12" s="5"/>
      <c r="D12" s="1">
        <v>2024</v>
      </c>
      <c r="E12" s="6">
        <v>0.2473</v>
      </c>
      <c r="F12" s="6">
        <v>0.1659</v>
      </c>
      <c r="G12" s="4">
        <v>0.03</v>
      </c>
      <c r="H12" s="2">
        <f t="shared" si="0"/>
        <v>1.30982519590115</v>
      </c>
    </row>
    <row r="13" spans="1:8">
      <c r="A13" s="5"/>
      <c r="B13" s="5"/>
      <c r="C13" s="5"/>
      <c r="D13" s="1">
        <v>2025</v>
      </c>
      <c r="E13" s="6">
        <v>0.0017</v>
      </c>
      <c r="F13" s="6">
        <v>0.1087</v>
      </c>
      <c r="G13" s="4">
        <v>0.03</v>
      </c>
      <c r="H13" s="2">
        <f t="shared" si="0"/>
        <v>-0.260349586016559</v>
      </c>
    </row>
  </sheetData>
  <mergeCells count="3">
    <mergeCell ref="A2:A13"/>
    <mergeCell ref="B2:B13"/>
    <mergeCell ref="C2:C1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J11" sqref="J11"/>
    </sheetView>
  </sheetViews>
  <sheetFormatPr defaultColWidth="9.02654867256637" defaultRowHeight="13.5" outlineLevelCol="7"/>
  <cols>
    <col min="1" max="1" width="9.24778761061947" style="1" customWidth="1"/>
    <col min="2" max="2" width="26.4070796460177" style="1" customWidth="1"/>
    <col min="3" max="3" width="15.6283185840708" style="1" customWidth="1"/>
    <col min="4" max="4" width="5.53097345132743" style="1" customWidth="1"/>
    <col min="5" max="7" width="11.3097345132743" style="1" customWidth="1"/>
    <col min="8" max="8" width="13.4336283185841" style="2" customWidth="1"/>
  </cols>
  <sheetData>
    <row r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1">
        <v>930992</v>
      </c>
      <c r="B2" s="1" t="s">
        <v>26</v>
      </c>
      <c r="C2" s="1" t="s">
        <v>27</v>
      </c>
      <c r="D2" s="1">
        <v>2015</v>
      </c>
      <c r="E2" s="3">
        <v>0.1402</v>
      </c>
      <c r="F2" s="3">
        <v>0.3135</v>
      </c>
      <c r="G2" s="4">
        <v>0.03</v>
      </c>
      <c r="H2" s="2">
        <f t="shared" ref="H2:H12" si="0">(E2-G2)/F2</f>
        <v>0.351515151515152</v>
      </c>
    </row>
    <row r="3" spans="1:8">
      <c r="D3" s="1">
        <v>2016</v>
      </c>
      <c r="E3" s="3">
        <v>0.0387</v>
      </c>
      <c r="F3" s="3">
        <v>0.1705</v>
      </c>
      <c r="G3" s="4">
        <v>0.03</v>
      </c>
      <c r="H3" s="2">
        <f t="shared" si="0"/>
        <v>0.0510263929618768</v>
      </c>
    </row>
    <row r="4" spans="1:8">
      <c r="D4" s="1">
        <v>2017</v>
      </c>
      <c r="E4" s="3">
        <v>0.1813</v>
      </c>
      <c r="F4" s="3">
        <v>0.0931</v>
      </c>
      <c r="G4" s="4">
        <v>0.03</v>
      </c>
      <c r="H4" s="2">
        <f t="shared" si="0"/>
        <v>1.62513426423201</v>
      </c>
    </row>
    <row r="5" spans="1:8">
      <c r="D5" s="1">
        <v>2018</v>
      </c>
      <c r="E5" s="3">
        <v>-0.1153</v>
      </c>
      <c r="F5" s="3">
        <v>0.1534</v>
      </c>
      <c r="G5" s="4">
        <v>0.03</v>
      </c>
      <c r="H5" s="2">
        <f t="shared" si="0"/>
        <v>-0.947196870925684</v>
      </c>
    </row>
    <row r="6" spans="1:8">
      <c r="D6" s="1">
        <v>2019</v>
      </c>
      <c r="E6" s="3">
        <v>0.0655</v>
      </c>
      <c r="F6" s="3">
        <v>0.1225</v>
      </c>
      <c r="G6" s="4">
        <v>0.03</v>
      </c>
      <c r="H6" s="2">
        <f t="shared" si="0"/>
        <v>0.289795918367347</v>
      </c>
    </row>
    <row r="7" spans="1:8">
      <c r="D7" s="1">
        <v>2020</v>
      </c>
      <c r="E7" s="3">
        <v>-0.1163</v>
      </c>
      <c r="F7" s="3">
        <v>0.1754</v>
      </c>
      <c r="G7" s="4">
        <v>0.03</v>
      </c>
      <c r="H7" s="2">
        <f t="shared" si="0"/>
        <v>-0.834093500570126</v>
      </c>
    </row>
    <row r="8" spans="1:8">
      <c r="D8" s="1">
        <v>2021</v>
      </c>
      <c r="E8" s="3">
        <v>0.0446</v>
      </c>
      <c r="F8" s="3">
        <v>0.1441</v>
      </c>
      <c r="G8" s="4">
        <v>0.03</v>
      </c>
      <c r="H8" s="2">
        <f t="shared" si="0"/>
        <v>0.101318528799445</v>
      </c>
    </row>
    <row r="9" spans="1:8">
      <c r="D9" s="1">
        <v>2022</v>
      </c>
      <c r="E9" s="3">
        <v>-0.0252</v>
      </c>
      <c r="F9" s="3">
        <v>0.1864</v>
      </c>
      <c r="G9" s="4">
        <v>0.03</v>
      </c>
      <c r="H9" s="2">
        <f t="shared" si="0"/>
        <v>-0.296137339055794</v>
      </c>
    </row>
    <row r="10" spans="1:8">
      <c r="D10" s="1">
        <v>2023</v>
      </c>
      <c r="E10" s="3">
        <v>-0.0092</v>
      </c>
      <c r="F10" s="3">
        <v>0.1204</v>
      </c>
      <c r="G10" s="4">
        <v>0.03</v>
      </c>
      <c r="H10" s="2">
        <f t="shared" si="0"/>
        <v>-0.325581395348837</v>
      </c>
    </row>
    <row r="11" spans="1:8">
      <c r="D11" s="1">
        <v>2024</v>
      </c>
      <c r="E11" s="3">
        <v>0.2531</v>
      </c>
      <c r="F11" s="3">
        <v>0.1758</v>
      </c>
      <c r="G11" s="4">
        <v>0.03</v>
      </c>
      <c r="H11" s="2">
        <f t="shared" si="0"/>
        <v>1.26905574516496</v>
      </c>
    </row>
    <row r="12" spans="1:8">
      <c r="D12" s="1">
        <v>2025</v>
      </c>
      <c r="E12" s="3">
        <v>0.051</v>
      </c>
      <c r="F12" s="3">
        <v>0.1232</v>
      </c>
      <c r="G12" s="4">
        <v>0.03</v>
      </c>
      <c r="H12" s="2">
        <f t="shared" si="0"/>
        <v>0.170454545454545</v>
      </c>
    </row>
  </sheetData>
  <mergeCells count="3">
    <mergeCell ref="A2:A12"/>
    <mergeCell ref="B2:B12"/>
    <mergeCell ref="C2:C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  <vt:lpstr>沪港深红利低波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2026-02-14T08:33:43Z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5A9B0EB948E7464685E7AED5BC35A3BE_12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