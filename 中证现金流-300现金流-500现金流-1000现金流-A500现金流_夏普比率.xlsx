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tabRatio="871" firstSheet="1"/>
  </bookViews>
  <sheets>
    <sheet name="中证现金流" sheetId="1" r:id="rId1"/>
    <sheet name="300现金流" sheetId="2" r:id="rId2"/>
    <sheet name="500现金流" sheetId="3" r:id="rId3"/>
    <sheet name="1000现金流" sheetId="4" r:id="rId4"/>
    <sheet name="A500现金流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<sst xmlns="http://schemas.openxmlformats.org/spreadsheetml/2006/main" count="55" uniqueCount="23">
  <si>
    <t>指数代码</t>
  </si>
  <si>
    <t>指数中文全称</t>
  </si>
  <si>
    <t>指数中文简称</t>
  </si>
  <si>
    <t>年份</t>
  </si>
  <si>
    <t>本年收益率</t>
  </si>
  <si>
    <t>本年波动率</t>
  </si>
  <si>
    <t>无风险利率</t>
  </si>
  <si>
    <t>本年夏普比率</t>
  </si>
  <si>
    <t>932365</t>
  </si>
  <si>
    <t>中证全指自由现金流指数</t>
  </si>
  <si>
    <t>中证现金流</t>
  </si>
  <si>
    <t>932366</t>
  </si>
  <si>
    <t>沪深300自由现金流指数</t>
  </si>
  <si>
    <t>300现金流</t>
  </si>
  <si>
    <t>932367</t>
  </si>
  <si>
    <t>中证500自由现金流指数</t>
  </si>
  <si>
    <t>500现金流</t>
  </si>
  <si>
    <t>932369</t>
  </si>
  <si>
    <t>中证1000自由现金流指数</t>
  </si>
  <si>
    <t>1000现金流</t>
  </si>
  <si>
    <t>931082</t>
  </si>
  <si>
    <t>中证A500自由现金流指数</t>
  </si>
  <si>
    <t>A500现金流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</si>
</sst>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176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176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10" fontId="0" fillId="0" borderId="0" xfId="0" applyNumberFormat="1" applyFont="1" applyAlignment="1">
      <alignment horizontal="left" vertical="center"/>
    </xf>
    <xf numFmtId="9" fontId="0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H2" sqref="H2:H13"/>
    </sheetView>
  </sheetViews>
  <sheetFormatPr defaultColWidth="9" defaultRowHeight="13.5" outlineLevelCol="7"/>
  <cols>
    <col min="1" max="1" width="9.24778761061947" style="1" customWidth="1"/>
    <col min="2" max="2" width="24.2743362831858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>
      <c r="A2" s="5" t="s">
        <v>8</v>
      </c>
      <c r="B2" s="5" t="s">
        <v>9</v>
      </c>
      <c r="C2" s="5" t="s">
        <v>10</v>
      </c>
      <c r="D2" s="1">
        <v>2014</v>
      </c>
      <c r="E2" s="6">
        <v>0.5227</v>
      </c>
      <c r="F2" s="6">
        <v>0.1823</v>
      </c>
      <c r="G2" s="7">
        <v>0.03</v>
      </c>
      <c r="H2" s="2">
        <f>(E2-G2)/F2</f>
        <v>2.70268787712562</v>
      </c>
    </row>
    <row r="3" spans="1:8">
      <c r="A3" s="5"/>
      <c r="B3" s="5"/>
      <c r="C3" s="5"/>
      <c r="D3" s="1">
        <v>2015</v>
      </c>
      <c r="E3" s="6">
        <v>0.1722</v>
      </c>
      <c r="F3" s="6">
        <v>0.4111</v>
      </c>
      <c r="G3" s="7">
        <v>0.03</v>
      </c>
      <c r="H3" s="2">
        <f t="shared" ref="H3:H13" si="0">(E3-G3)/F3</f>
        <v>0.34590124057407</v>
      </c>
    </row>
    <row r="4" spans="1:8">
      <c r="A4" s="5"/>
      <c r="B4" s="5"/>
      <c r="C4" s="5"/>
      <c r="D4" s="1">
        <v>2016</v>
      </c>
      <c r="E4" s="6">
        <v>-0.0387</v>
      </c>
      <c r="F4" s="6">
        <v>0.2134</v>
      </c>
      <c r="G4" s="7">
        <v>0.03</v>
      </c>
      <c r="H4" s="2">
        <f t="shared" si="0"/>
        <v>-0.321930646672915</v>
      </c>
    </row>
    <row r="5" spans="1:8">
      <c r="A5" s="5"/>
      <c r="B5" s="5"/>
      <c r="C5" s="5"/>
      <c r="D5" s="1">
        <v>2017</v>
      </c>
      <c r="E5" s="6">
        <v>0.3619</v>
      </c>
      <c r="F5" s="6">
        <v>0.1081</v>
      </c>
      <c r="G5" s="7">
        <v>0.03</v>
      </c>
      <c r="H5" s="2">
        <f t="shared" si="0"/>
        <v>3.07030527289547</v>
      </c>
    </row>
    <row r="6" spans="1:8">
      <c r="A6" s="5"/>
      <c r="B6" s="5"/>
      <c r="C6" s="5"/>
      <c r="D6" s="1">
        <v>2018</v>
      </c>
      <c r="E6" s="6">
        <v>-0.1816</v>
      </c>
      <c r="F6" s="6">
        <v>0.2112</v>
      </c>
      <c r="G6" s="7">
        <v>0.03</v>
      </c>
      <c r="H6" s="2">
        <f t="shared" si="0"/>
        <v>-1.00189393939394</v>
      </c>
    </row>
    <row r="7" spans="1:8">
      <c r="A7" s="5"/>
      <c r="B7" s="5"/>
      <c r="C7" s="5"/>
      <c r="D7" s="1">
        <v>2019</v>
      </c>
      <c r="E7" s="6">
        <v>0.2139</v>
      </c>
      <c r="F7" s="6">
        <v>0.1905</v>
      </c>
      <c r="G7" s="7">
        <v>0.03</v>
      </c>
      <c r="H7" s="2">
        <f t="shared" si="0"/>
        <v>0.965354330708661</v>
      </c>
    </row>
    <row r="8" spans="1:8">
      <c r="A8" s="5"/>
      <c r="B8" s="5"/>
      <c r="C8" s="5"/>
      <c r="D8" s="1">
        <v>2020</v>
      </c>
      <c r="E8" s="6">
        <v>0.0965</v>
      </c>
      <c r="F8" s="6">
        <v>0.2254</v>
      </c>
      <c r="G8" s="7">
        <v>0.03</v>
      </c>
      <c r="H8" s="2">
        <f t="shared" si="0"/>
        <v>0.295031055900621</v>
      </c>
    </row>
    <row r="9" spans="1:8">
      <c r="A9" s="5"/>
      <c r="B9" s="5"/>
      <c r="C9" s="5"/>
      <c r="D9" s="1">
        <v>2021</v>
      </c>
      <c r="E9" s="6">
        <v>0.3079</v>
      </c>
      <c r="F9" s="6">
        <v>0.2296</v>
      </c>
      <c r="G9" s="7">
        <v>0.03</v>
      </c>
      <c r="H9" s="2">
        <f t="shared" si="0"/>
        <v>1.21036585365854</v>
      </c>
    </row>
    <row r="10" spans="1:8">
      <c r="A10" s="5"/>
      <c r="B10" s="5"/>
      <c r="C10" s="5"/>
      <c r="D10" s="1">
        <v>2022</v>
      </c>
      <c r="E10" s="6">
        <v>-0.089</v>
      </c>
      <c r="F10" s="6">
        <v>0.2449</v>
      </c>
      <c r="G10" s="7">
        <v>0.03</v>
      </c>
      <c r="H10" s="2">
        <f t="shared" si="0"/>
        <v>-0.485912617394855</v>
      </c>
    </row>
    <row r="11" spans="1:8">
      <c r="A11" s="5"/>
      <c r="B11" s="5"/>
      <c r="C11" s="5"/>
      <c r="D11" s="1">
        <v>2023</v>
      </c>
      <c r="E11" s="6">
        <v>0.1214</v>
      </c>
      <c r="F11" s="6">
        <v>0.1507</v>
      </c>
      <c r="G11" s="7">
        <v>0.03</v>
      </c>
      <c r="H11" s="2">
        <f t="shared" si="0"/>
        <v>0.60650298606503</v>
      </c>
    </row>
    <row r="12" spans="1:8">
      <c r="A12" s="5"/>
      <c r="B12" s="5"/>
      <c r="C12" s="5"/>
      <c r="D12" s="1">
        <v>2024</v>
      </c>
      <c r="E12" s="6">
        <v>0.3549</v>
      </c>
      <c r="F12" s="6">
        <v>0.2394</v>
      </c>
      <c r="G12" s="7">
        <v>0.03</v>
      </c>
      <c r="H12" s="2">
        <f t="shared" si="0"/>
        <v>1.35714285714286</v>
      </c>
    </row>
    <row r="13" spans="1:8">
      <c r="A13" s="5"/>
      <c r="B13" s="5"/>
      <c r="C13" s="5"/>
      <c r="D13" s="1">
        <v>2025</v>
      </c>
      <c r="E13" s="6">
        <v>0.1429</v>
      </c>
      <c r="F13" s="6">
        <v>0.1479</v>
      </c>
      <c r="G13" s="7">
        <v>0.03</v>
      </c>
      <c r="H13" s="2">
        <f t="shared" si="0"/>
        <v>0.763353617308993</v>
      </c>
    </row>
  </sheetData>
  <mergeCells count="3">
    <mergeCell ref="A2:A13"/>
    <mergeCell ref="B2:B13"/>
    <mergeCell ref="C2:C1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H2" sqref="H2:H13"/>
    </sheetView>
  </sheetViews>
  <sheetFormatPr defaultColWidth="9.02654867256637" defaultRowHeight="13.5" outlineLevelCol="7"/>
  <cols>
    <col min="1" max="1" width="9.24778761061947" style="1" customWidth="1"/>
    <col min="2" max="2" width="23.283185840708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>
      <c r="A2" s="5" t="s">
        <v>11</v>
      </c>
      <c r="B2" s="5" t="s">
        <v>12</v>
      </c>
      <c r="C2" s="5" t="s">
        <v>13</v>
      </c>
      <c r="D2" s="1">
        <v>2014</v>
      </c>
      <c r="E2" s="6">
        <v>0.4206</v>
      </c>
      <c r="F2" s="6">
        <v>0.1896</v>
      </c>
      <c r="G2" s="7">
        <v>0.03</v>
      </c>
      <c r="H2" s="2">
        <f>(E2-G2)/F2</f>
        <v>2.06012658227848</v>
      </c>
    </row>
    <row r="3" spans="1:8">
      <c r="A3" s="5"/>
      <c r="B3" s="5"/>
      <c r="C3" s="5"/>
      <c r="D3" s="1">
        <v>2015</v>
      </c>
      <c r="E3" s="6">
        <v>0.0395</v>
      </c>
      <c r="F3" s="6">
        <v>0.4032</v>
      </c>
      <c r="G3" s="7">
        <v>0.03</v>
      </c>
      <c r="H3" s="2">
        <f t="shared" ref="H3:H13" si="0">(E3-G3)/F3</f>
        <v>0.0235615079365079</v>
      </c>
    </row>
    <row r="4" spans="1:8">
      <c r="A4" s="5"/>
      <c r="B4" s="5"/>
      <c r="C4" s="5"/>
      <c r="D4" s="1">
        <v>2016</v>
      </c>
      <c r="E4" s="6">
        <v>-0.0517</v>
      </c>
      <c r="F4" s="6">
        <v>0.2016</v>
      </c>
      <c r="G4" s="7">
        <v>0.03</v>
      </c>
      <c r="H4" s="2">
        <f t="shared" si="0"/>
        <v>-0.405257936507936</v>
      </c>
    </row>
    <row r="5" spans="1:8">
      <c r="A5" s="5"/>
      <c r="B5" s="5"/>
      <c r="C5" s="5"/>
      <c r="D5" s="1">
        <v>2017</v>
      </c>
      <c r="E5" s="6">
        <v>0.4121</v>
      </c>
      <c r="F5" s="6">
        <v>0.1033</v>
      </c>
      <c r="G5" s="7">
        <v>0.03</v>
      </c>
      <c r="H5" s="2">
        <f t="shared" si="0"/>
        <v>3.69893514036786</v>
      </c>
    </row>
    <row r="6" spans="1:8">
      <c r="A6" s="5"/>
      <c r="B6" s="5"/>
      <c r="C6" s="5"/>
      <c r="D6" s="1">
        <v>2018</v>
      </c>
      <c r="E6" s="6">
        <v>-0.1743</v>
      </c>
      <c r="F6" s="6">
        <v>0.2027</v>
      </c>
      <c r="G6" s="7">
        <v>0.03</v>
      </c>
      <c r="H6" s="2">
        <f t="shared" si="0"/>
        <v>-1.00789343857918</v>
      </c>
    </row>
    <row r="7" spans="1:8">
      <c r="A7" s="5"/>
      <c r="B7" s="5"/>
      <c r="C7" s="5"/>
      <c r="D7" s="1">
        <v>2019</v>
      </c>
      <c r="E7" s="6">
        <v>0.1755</v>
      </c>
      <c r="F7" s="6">
        <v>0.1701</v>
      </c>
      <c r="G7" s="7">
        <v>0.03</v>
      </c>
      <c r="H7" s="2">
        <f t="shared" si="0"/>
        <v>0.855379188712522</v>
      </c>
    </row>
    <row r="8" spans="1:8">
      <c r="A8" s="5"/>
      <c r="B8" s="5"/>
      <c r="C8" s="5"/>
      <c r="D8" s="1">
        <v>2020</v>
      </c>
      <c r="E8" s="6">
        <v>0.1229</v>
      </c>
      <c r="F8" s="6">
        <v>0.209</v>
      </c>
      <c r="G8" s="7">
        <v>0.03</v>
      </c>
      <c r="H8" s="2">
        <f t="shared" si="0"/>
        <v>0.444497607655502</v>
      </c>
    </row>
    <row r="9" spans="1:8">
      <c r="A9" s="5"/>
      <c r="B9" s="5"/>
      <c r="C9" s="5"/>
      <c r="D9" s="1">
        <v>2021</v>
      </c>
      <c r="E9" s="6">
        <v>0.1016</v>
      </c>
      <c r="F9" s="6">
        <v>0.1781</v>
      </c>
      <c r="G9" s="7">
        <v>0.03</v>
      </c>
      <c r="H9" s="2">
        <f t="shared" si="0"/>
        <v>0.402021336327906</v>
      </c>
    </row>
    <row r="10" spans="1:8">
      <c r="A10" s="5"/>
      <c r="B10" s="5"/>
      <c r="C10" s="5"/>
      <c r="D10" s="1">
        <v>2022</v>
      </c>
      <c r="E10" s="6">
        <v>-0.1031</v>
      </c>
      <c r="F10" s="6">
        <v>0.2038</v>
      </c>
      <c r="G10" s="7">
        <v>0.03</v>
      </c>
      <c r="H10" s="2">
        <f t="shared" si="0"/>
        <v>-0.653091265947007</v>
      </c>
    </row>
    <row r="11" spans="1:8">
      <c r="A11" s="5"/>
      <c r="B11" s="5"/>
      <c r="C11" s="5"/>
      <c r="D11" s="1">
        <v>2023</v>
      </c>
      <c r="E11" s="6">
        <v>0.0694</v>
      </c>
      <c r="F11" s="6">
        <v>0.1415</v>
      </c>
      <c r="G11" s="7">
        <v>0.03</v>
      </c>
      <c r="H11" s="2">
        <f t="shared" si="0"/>
        <v>0.278445229681979</v>
      </c>
    </row>
    <row r="12" spans="1:8">
      <c r="A12" s="5"/>
      <c r="B12" s="5"/>
      <c r="C12" s="5"/>
      <c r="D12" s="1">
        <v>2024</v>
      </c>
      <c r="E12" s="6">
        <v>0.3516</v>
      </c>
      <c r="F12" s="6">
        <v>0.2039</v>
      </c>
      <c r="G12" s="7">
        <v>0.03</v>
      </c>
      <c r="H12" s="2">
        <f t="shared" si="0"/>
        <v>1.57724374693477</v>
      </c>
    </row>
    <row r="13" spans="1:8">
      <c r="A13" s="5"/>
      <c r="B13" s="5"/>
      <c r="C13" s="5"/>
      <c r="D13" s="1">
        <v>2025</v>
      </c>
      <c r="E13" s="6">
        <v>0.0858</v>
      </c>
      <c r="F13" s="6">
        <v>0.1279</v>
      </c>
      <c r="G13" s="7">
        <v>0.03</v>
      </c>
      <c r="H13" s="2">
        <f t="shared" si="0"/>
        <v>0.436278342455043</v>
      </c>
    </row>
  </sheetData>
  <mergeCells count="3">
    <mergeCell ref="A2:A13"/>
    <mergeCell ref="B2:B13"/>
    <mergeCell ref="C2:C1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H2" sqref="H2:H13"/>
    </sheetView>
  </sheetViews>
  <sheetFormatPr defaultColWidth="9.02654867256637" defaultRowHeight="13.5" outlineLevelCol="7"/>
  <cols>
    <col min="1" max="1" width="9.24778761061947" style="1" customWidth="1"/>
    <col min="2" max="2" width="23.283185840708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>
      <c r="A2" s="5" t="s">
        <v>14</v>
      </c>
      <c r="B2" s="5" t="s">
        <v>15</v>
      </c>
      <c r="C2" s="5" t="s">
        <v>16</v>
      </c>
      <c r="D2" s="1">
        <v>2014</v>
      </c>
      <c r="E2" s="6">
        <v>0.4341</v>
      </c>
      <c r="F2" s="6">
        <v>0.2001</v>
      </c>
      <c r="G2" s="7">
        <v>0.03</v>
      </c>
      <c r="H2" s="2">
        <f>(E2-G2)/F2</f>
        <v>2.01949025487256</v>
      </c>
    </row>
    <row r="3" spans="1:8">
      <c r="A3" s="5"/>
      <c r="B3" s="5"/>
      <c r="C3" s="5"/>
      <c r="D3" s="1">
        <v>2015</v>
      </c>
      <c r="E3" s="6">
        <v>0.3243</v>
      </c>
      <c r="F3" s="6">
        <v>0.4802</v>
      </c>
      <c r="G3" s="7">
        <v>0.03</v>
      </c>
      <c r="H3" s="2">
        <f t="shared" ref="H3:H13" si="0">(E3-G3)/F3</f>
        <v>0.612869637650979</v>
      </c>
    </row>
    <row r="4" spans="1:8">
      <c r="A4" s="5"/>
      <c r="B4" s="5"/>
      <c r="C4" s="5"/>
      <c r="D4" s="1">
        <v>2016</v>
      </c>
      <c r="E4" s="6">
        <v>-0.0736</v>
      </c>
      <c r="F4" s="6">
        <v>0.2832</v>
      </c>
      <c r="G4" s="7">
        <v>0.03</v>
      </c>
      <c r="H4" s="2">
        <f t="shared" si="0"/>
        <v>-0.365819209039548</v>
      </c>
    </row>
    <row r="5" spans="1:8">
      <c r="A5" s="5"/>
      <c r="B5" s="5"/>
      <c r="C5" s="5"/>
      <c r="D5" s="1">
        <v>2017</v>
      </c>
      <c r="E5" s="6">
        <v>0.1927</v>
      </c>
      <c r="F5" s="6">
        <v>0.167</v>
      </c>
      <c r="G5" s="7">
        <v>0.03</v>
      </c>
      <c r="H5" s="2">
        <f t="shared" si="0"/>
        <v>0.974251497005988</v>
      </c>
    </row>
    <row r="6" spans="1:8">
      <c r="A6" s="5"/>
      <c r="B6" s="5"/>
      <c r="C6" s="5"/>
      <c r="D6" s="1">
        <v>2018</v>
      </c>
      <c r="E6" s="6">
        <v>-0.2305</v>
      </c>
      <c r="F6" s="6">
        <v>0.2365</v>
      </c>
      <c r="G6" s="7">
        <v>0.03</v>
      </c>
      <c r="H6" s="2">
        <f t="shared" si="0"/>
        <v>-1.1014799154334</v>
      </c>
    </row>
    <row r="7" spans="1:8">
      <c r="A7" s="5"/>
      <c r="B7" s="5"/>
      <c r="C7" s="5"/>
      <c r="D7" s="1">
        <v>2019</v>
      </c>
      <c r="E7" s="6">
        <v>0.2145</v>
      </c>
      <c r="F7" s="6">
        <v>0.2216</v>
      </c>
      <c r="G7" s="7">
        <v>0.03</v>
      </c>
      <c r="H7" s="2">
        <f t="shared" si="0"/>
        <v>0.832581227436823</v>
      </c>
    </row>
    <row r="8" spans="1:8">
      <c r="A8" s="5"/>
      <c r="B8" s="5"/>
      <c r="C8" s="5"/>
      <c r="D8" s="1">
        <v>2020</v>
      </c>
      <c r="E8" s="6">
        <v>0.0781</v>
      </c>
      <c r="F8" s="6">
        <v>0.2367</v>
      </c>
      <c r="G8" s="7">
        <v>0.03</v>
      </c>
      <c r="H8" s="2">
        <f t="shared" si="0"/>
        <v>0.203210815378116</v>
      </c>
    </row>
    <row r="9" spans="1:8">
      <c r="A9" s="5"/>
      <c r="B9" s="5"/>
      <c r="C9" s="5"/>
      <c r="D9" s="1">
        <v>2021</v>
      </c>
      <c r="E9" s="6">
        <v>0.2178</v>
      </c>
      <c r="F9" s="6">
        <v>0.2423</v>
      </c>
      <c r="G9" s="7">
        <v>0.03</v>
      </c>
      <c r="H9" s="2">
        <f t="shared" si="0"/>
        <v>0.775072224515064</v>
      </c>
    </row>
    <row r="10" spans="1:8">
      <c r="A10" s="5"/>
      <c r="B10" s="5"/>
      <c r="C10" s="5"/>
      <c r="D10" s="1">
        <v>2022</v>
      </c>
      <c r="E10" s="6">
        <v>-0.1224</v>
      </c>
      <c r="F10" s="6">
        <v>0.2592</v>
      </c>
      <c r="G10" s="7">
        <v>0.03</v>
      </c>
      <c r="H10" s="2">
        <f t="shared" si="0"/>
        <v>-0.587962962962963</v>
      </c>
    </row>
    <row r="11" spans="1:8">
      <c r="A11" s="5"/>
      <c r="B11" s="5"/>
      <c r="C11" s="5"/>
      <c r="D11" s="1">
        <v>2023</v>
      </c>
      <c r="E11" s="6">
        <v>0.0614</v>
      </c>
      <c r="F11" s="6">
        <v>0.1318</v>
      </c>
      <c r="G11" s="7">
        <v>0.03</v>
      </c>
      <c r="H11" s="2">
        <f t="shared" si="0"/>
        <v>0.238239757207891</v>
      </c>
    </row>
    <row r="12" spans="1:8">
      <c r="A12" s="5"/>
      <c r="B12" s="5"/>
      <c r="C12" s="5"/>
      <c r="D12" s="1">
        <v>2024</v>
      </c>
      <c r="E12" s="6">
        <v>0.1813</v>
      </c>
      <c r="F12" s="6">
        <v>0.2498</v>
      </c>
      <c r="G12" s="7">
        <v>0.03</v>
      </c>
      <c r="H12" s="2">
        <f t="shared" si="0"/>
        <v>0.60568454763811</v>
      </c>
    </row>
    <row r="13" spans="1:8">
      <c r="A13" s="5"/>
      <c r="B13" s="5"/>
      <c r="C13" s="5"/>
      <c r="D13" s="1">
        <v>2025</v>
      </c>
      <c r="E13" s="6">
        <v>0.2918</v>
      </c>
      <c r="F13" s="6">
        <v>0.1637</v>
      </c>
      <c r="G13" s="7">
        <v>0.03</v>
      </c>
      <c r="H13" s="2">
        <f t="shared" si="0"/>
        <v>1.59926695174099</v>
      </c>
    </row>
  </sheetData>
  <mergeCells count="3">
    <mergeCell ref="A2:A13"/>
    <mergeCell ref="B2:B13"/>
    <mergeCell ref="C2:C1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opLeftCell="C1" workbookViewId="0">
      <selection activeCell="H2" sqref="H2:H13"/>
    </sheetView>
  </sheetViews>
  <sheetFormatPr defaultColWidth="9.02654867256637" defaultRowHeight="13.5" outlineLevelCol="7"/>
  <cols>
    <col min="1" max="1" width="9.24778761061947" style="1" customWidth="1"/>
    <col min="2" max="2" width="24.4159292035398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>
      <c r="A2" s="5" t="s">
        <v>17</v>
      </c>
      <c r="B2" s="5" t="s">
        <v>18</v>
      </c>
      <c r="C2" s="5" t="s">
        <v>19</v>
      </c>
      <c r="D2" s="1">
        <v>2014</v>
      </c>
      <c r="E2" s="6">
        <v>0.5218</v>
      </c>
      <c r="F2" s="6">
        <v>0.1993</v>
      </c>
      <c r="G2" s="7">
        <v>0.03</v>
      </c>
      <c r="H2" s="2">
        <f>(E2-G2)/F2</f>
        <v>2.46763672854992</v>
      </c>
    </row>
    <row r="3" spans="1:8">
      <c r="A3" s="5"/>
      <c r="B3" s="5"/>
      <c r="C3" s="5"/>
      <c r="D3" s="1">
        <v>2015</v>
      </c>
      <c r="E3" s="6">
        <v>0.5595</v>
      </c>
      <c r="F3" s="6">
        <v>0.472</v>
      </c>
      <c r="G3" s="7">
        <v>0.03</v>
      </c>
      <c r="H3" s="2">
        <f t="shared" ref="H3:H13" si="0">(E3-G3)/F3</f>
        <v>1.1218220338983</v>
      </c>
    </row>
    <row r="4" spans="1:8">
      <c r="A4" s="5"/>
      <c r="B4" s="5"/>
      <c r="C4" s="5"/>
      <c r="D4" s="1">
        <v>2016</v>
      </c>
      <c r="E4" s="6">
        <v>-0.0837</v>
      </c>
      <c r="F4" s="6">
        <v>0.2846</v>
      </c>
      <c r="G4" s="7">
        <v>0.03</v>
      </c>
      <c r="H4" s="2">
        <f t="shared" si="0"/>
        <v>-0.39950808151792</v>
      </c>
    </row>
    <row r="5" spans="1:8">
      <c r="A5" s="5"/>
      <c r="B5" s="5"/>
      <c r="C5" s="5"/>
      <c r="D5" s="1">
        <v>2017</v>
      </c>
      <c r="E5" s="6">
        <v>-0.1206</v>
      </c>
      <c r="F5" s="6">
        <v>0.1517</v>
      </c>
      <c r="G5" s="7">
        <v>0.03</v>
      </c>
      <c r="H5" s="2">
        <f t="shared" si="0"/>
        <v>-0.992748846407383</v>
      </c>
    </row>
    <row r="6" spans="1:8">
      <c r="A6" s="5"/>
      <c r="B6" s="5"/>
      <c r="C6" s="5"/>
      <c r="D6" s="1">
        <v>2018</v>
      </c>
      <c r="E6" s="6">
        <v>-0.244</v>
      </c>
      <c r="F6" s="6">
        <v>0.2426</v>
      </c>
      <c r="G6" s="7">
        <v>0.03</v>
      </c>
      <c r="H6" s="2">
        <f t="shared" si="0"/>
        <v>-1.12943116240725</v>
      </c>
    </row>
    <row r="7" spans="1:8">
      <c r="A7" s="5"/>
      <c r="B7" s="5"/>
      <c r="C7" s="5"/>
      <c r="D7" s="1">
        <v>2019</v>
      </c>
      <c r="E7" s="6">
        <v>0.2564</v>
      </c>
      <c r="F7" s="6">
        <v>0.2248</v>
      </c>
      <c r="G7" s="7">
        <v>0.03</v>
      </c>
      <c r="H7" s="2">
        <f t="shared" si="0"/>
        <v>1.00711743772242</v>
      </c>
    </row>
    <row r="8" spans="1:8">
      <c r="A8" s="5"/>
      <c r="B8" s="5"/>
      <c r="C8" s="5"/>
      <c r="D8" s="1">
        <v>2020</v>
      </c>
      <c r="E8" s="6">
        <v>0.1935</v>
      </c>
      <c r="F8" s="6">
        <v>0.2405</v>
      </c>
      <c r="G8" s="7">
        <v>0.03</v>
      </c>
      <c r="H8" s="2">
        <f t="shared" si="0"/>
        <v>0.67983367983368</v>
      </c>
    </row>
    <row r="9" spans="1:8">
      <c r="A9" s="5"/>
      <c r="B9" s="5"/>
      <c r="C9" s="5"/>
      <c r="D9" s="1">
        <v>2021</v>
      </c>
      <c r="E9" s="6">
        <v>0.2906</v>
      </c>
      <c r="F9" s="6">
        <v>0.2367</v>
      </c>
      <c r="G9" s="7">
        <v>0.03</v>
      </c>
      <c r="H9" s="2">
        <f t="shared" si="0"/>
        <v>1.10097169412759</v>
      </c>
    </row>
    <row r="10" spans="1:8">
      <c r="A10" s="5"/>
      <c r="B10" s="5"/>
      <c r="C10" s="5"/>
      <c r="D10" s="1">
        <v>2022</v>
      </c>
      <c r="E10" s="6">
        <v>0.0139</v>
      </c>
      <c r="F10" s="6">
        <v>0.2659</v>
      </c>
      <c r="G10" s="7">
        <v>0.03</v>
      </c>
      <c r="H10" s="2">
        <f t="shared" si="0"/>
        <v>-0.0605490786009778</v>
      </c>
    </row>
    <row r="11" spans="1:8">
      <c r="A11" s="5"/>
      <c r="B11" s="5"/>
      <c r="C11" s="5"/>
      <c r="D11" s="1">
        <v>2023</v>
      </c>
      <c r="E11" s="6">
        <v>-0.0085</v>
      </c>
      <c r="F11" s="6">
        <v>0.1262</v>
      </c>
      <c r="G11" s="7">
        <v>0.03</v>
      </c>
      <c r="H11" s="2">
        <f t="shared" si="0"/>
        <v>-0.305071315372425</v>
      </c>
    </row>
    <row r="12" spans="1:8">
      <c r="A12" s="5"/>
      <c r="B12" s="5"/>
      <c r="C12" s="5"/>
      <c r="D12" s="1">
        <v>2024</v>
      </c>
      <c r="E12" s="6">
        <v>0.1397</v>
      </c>
      <c r="F12" s="6">
        <v>0.2533</v>
      </c>
      <c r="G12" s="7">
        <v>0.03</v>
      </c>
      <c r="H12" s="2">
        <f t="shared" si="0"/>
        <v>0.433083300434268</v>
      </c>
    </row>
    <row r="13" spans="1:8">
      <c r="A13" s="5"/>
      <c r="B13" s="5"/>
      <c r="C13" s="5"/>
      <c r="D13" s="1">
        <v>2025</v>
      </c>
      <c r="E13" s="6">
        <v>0.1503</v>
      </c>
      <c r="F13" s="6">
        <v>0.1561</v>
      </c>
      <c r="G13" s="7">
        <v>0.03</v>
      </c>
      <c r="H13" s="2">
        <f t="shared" si="0"/>
        <v>0.770659833440102</v>
      </c>
    </row>
  </sheetData>
  <mergeCells count="3">
    <mergeCell ref="A2:A13"/>
    <mergeCell ref="B2:B13"/>
    <mergeCell ref="C2:C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H2" sqref="H2:H13"/>
    </sheetView>
  </sheetViews>
  <sheetFormatPr defaultColWidth="9.02654867256637" defaultRowHeight="13.5" outlineLevelCol="7"/>
  <cols>
    <col min="1" max="1" width="9.24778761061947" style="1" customWidth="1"/>
    <col min="2" max="2" width="24.4159292035398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>
      <c r="A2" s="5" t="s">
        <v>20</v>
      </c>
      <c r="B2" s="5" t="s">
        <v>21</v>
      </c>
      <c r="C2" s="5" t="s">
        <v>22</v>
      </c>
      <c r="D2" s="1">
        <v>2014</v>
      </c>
      <c r="E2" s="6">
        <v>0.4888</v>
      </c>
      <c r="F2" s="6">
        <v>0.1826</v>
      </c>
      <c r="G2" s="7">
        <v>0.03</v>
      </c>
      <c r="H2" s="2">
        <f>(E2-G2)/F2</f>
        <v>2.51259583789704</v>
      </c>
    </row>
    <row r="3" spans="1:8">
      <c r="A3" s="5"/>
      <c r="B3" s="5"/>
      <c r="C3" s="5"/>
      <c r="D3" s="1">
        <v>2015</v>
      </c>
      <c r="E3" s="6">
        <v>0.1036</v>
      </c>
      <c r="F3" s="6">
        <v>0.4019</v>
      </c>
      <c r="G3" s="7">
        <v>0.03</v>
      </c>
      <c r="H3" s="2">
        <f t="shared" ref="H3:H13" si="0">(E3-G3)/F3</f>
        <v>0.1831301318736</v>
      </c>
    </row>
    <row r="4" spans="1:8">
      <c r="A4" s="5"/>
      <c r="B4" s="5"/>
      <c r="C4" s="5"/>
      <c r="D4" s="1">
        <v>2016</v>
      </c>
      <c r="E4" s="6">
        <v>-0.0479</v>
      </c>
      <c r="F4" s="6">
        <v>0.205</v>
      </c>
      <c r="G4" s="7">
        <v>0.03</v>
      </c>
      <c r="H4" s="2">
        <f t="shared" si="0"/>
        <v>-0.38</v>
      </c>
    </row>
    <row r="5" spans="1:8">
      <c r="A5" s="5"/>
      <c r="B5" s="5"/>
      <c r="C5" s="5"/>
      <c r="D5" s="1">
        <v>2017</v>
      </c>
      <c r="E5" s="6">
        <v>0.3999</v>
      </c>
      <c r="F5" s="6">
        <v>0.104</v>
      </c>
      <c r="G5" s="7">
        <v>0.03</v>
      </c>
      <c r="H5" s="2">
        <f t="shared" si="0"/>
        <v>3.55673076923077</v>
      </c>
    </row>
    <row r="6" spans="1:8">
      <c r="A6" s="5"/>
      <c r="B6" s="5"/>
      <c r="C6" s="5"/>
      <c r="D6" s="1">
        <v>2018</v>
      </c>
      <c r="E6" s="6">
        <v>-0.1471</v>
      </c>
      <c r="F6" s="6">
        <v>0.2068</v>
      </c>
      <c r="G6" s="7">
        <v>0.03</v>
      </c>
      <c r="H6" s="2">
        <f t="shared" si="0"/>
        <v>-0.856382978723404</v>
      </c>
    </row>
    <row r="7" spans="1:8">
      <c r="A7" s="5"/>
      <c r="B7" s="5"/>
      <c r="C7" s="5"/>
      <c r="D7" s="1">
        <v>2019</v>
      </c>
      <c r="E7" s="6">
        <v>0.2176</v>
      </c>
      <c r="F7" s="6">
        <v>0.1868</v>
      </c>
      <c r="G7" s="7">
        <v>0.03</v>
      </c>
      <c r="H7" s="2">
        <f t="shared" si="0"/>
        <v>1.00428265524625</v>
      </c>
    </row>
    <row r="8" spans="1:8">
      <c r="A8" s="5"/>
      <c r="B8" s="5"/>
      <c r="C8" s="5"/>
      <c r="D8" s="1">
        <v>2020</v>
      </c>
      <c r="E8" s="6">
        <v>0.0906</v>
      </c>
      <c r="F8" s="6">
        <v>0.213</v>
      </c>
      <c r="G8" s="7">
        <v>0.03</v>
      </c>
      <c r="H8" s="2">
        <f t="shared" si="0"/>
        <v>0.284507042253521</v>
      </c>
    </row>
    <row r="9" spans="1:8">
      <c r="A9" s="5"/>
      <c r="B9" s="5"/>
      <c r="C9" s="5"/>
      <c r="D9" s="1">
        <v>2021</v>
      </c>
      <c r="E9" s="6">
        <v>0.2326</v>
      </c>
      <c r="F9" s="6">
        <v>0.2126</v>
      </c>
      <c r="G9" s="7">
        <v>0.03</v>
      </c>
      <c r="H9" s="2">
        <f t="shared" si="0"/>
        <v>0.952963311382879</v>
      </c>
    </row>
    <row r="10" spans="1:8">
      <c r="A10" s="5"/>
      <c r="B10" s="5"/>
      <c r="C10" s="5"/>
      <c r="D10" s="1">
        <v>2022</v>
      </c>
      <c r="E10" s="6">
        <v>-0.0931</v>
      </c>
      <c r="F10" s="6">
        <v>0.2208</v>
      </c>
      <c r="G10" s="7">
        <v>0.03</v>
      </c>
      <c r="H10" s="2">
        <f t="shared" si="0"/>
        <v>-0.557518115942029</v>
      </c>
    </row>
    <row r="11" spans="1:8">
      <c r="A11" s="5"/>
      <c r="B11" s="5"/>
      <c r="C11" s="5"/>
      <c r="D11" s="1">
        <v>2023</v>
      </c>
      <c r="E11" s="6">
        <v>0.1302</v>
      </c>
      <c r="F11" s="6">
        <v>0.1499</v>
      </c>
      <c r="G11" s="7">
        <v>0.03</v>
      </c>
      <c r="H11" s="2">
        <f t="shared" si="0"/>
        <v>0.66844563042028</v>
      </c>
    </row>
    <row r="12" spans="1:8">
      <c r="A12" s="5"/>
      <c r="B12" s="5"/>
      <c r="C12" s="5"/>
      <c r="D12" s="1">
        <v>2024</v>
      </c>
      <c r="E12" s="6">
        <v>0.3106</v>
      </c>
      <c r="F12" s="6">
        <v>0.2083</v>
      </c>
      <c r="G12" s="7">
        <v>0.03</v>
      </c>
      <c r="H12" s="2">
        <f t="shared" si="0"/>
        <v>1.34709553528565</v>
      </c>
    </row>
    <row r="13" spans="1:8">
      <c r="A13" s="5"/>
      <c r="B13" s="5"/>
      <c r="C13" s="5"/>
      <c r="D13" s="1">
        <v>2025</v>
      </c>
      <c r="E13" s="6">
        <v>0.1039</v>
      </c>
      <c r="F13" s="6">
        <v>0.1433</v>
      </c>
      <c r="G13" s="7">
        <v>0.03</v>
      </c>
      <c r="H13" s="2">
        <f t="shared" si="0"/>
        <v>0.515701325889742</v>
      </c>
    </row>
  </sheetData>
  <mergeCells count="3">
    <mergeCell ref="A2:A13"/>
    <mergeCell ref="B2:B13"/>
    <mergeCell ref="C2:C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中证现金流</vt:lpstr>
      <vt:lpstr>300现金流</vt:lpstr>
      <vt:lpstr>500现金流</vt:lpstr>
      <vt:lpstr>1000现金流</vt:lpstr>
      <vt:lpstr>A500现金流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2026-01-02T10:36:00Z</dcterms:created>
  <dcterms:modified xsi:type="dcterms:W3CDTF">2026-01-05T14:19:17Z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FC02209962D84BBD897C4696948BABBE_12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