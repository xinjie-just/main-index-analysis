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中证全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<sst xmlns="http://schemas.openxmlformats.org/spreadsheetml/2006/main" count="11" uniqueCount="11">
  <si>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</si>
  <si>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</si>
  <si>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</si>
  <si>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</si>
  <si>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</si>
  <si>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</si>
  <si>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</si>
  <si>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</si>
  <si>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000985</t>
  </si>
  <si>
    <t>中证全指指数</t>
  </si>
  <si>
    <t>中证全指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</si>
</sst>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10" fontId="0" fillId="0" borderId="0" xfId="0" applyNumberFormat="1" applyFont="1" applyAlignment="1">
      <alignment horizontal="left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J8" sqref="J8"/>
    </sheetView>
  </sheetViews>
  <sheetFormatPr defaultColWidth="9" defaultRowHeight="13.5" outlineLevelCol="7"/>
  <cols>
    <col min="1" max="1" width="9.24778761061947" style="1" customWidth="1"/>
    <col min="2" max="2" width="13.5752212389381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1" spans="1:8">
      <c r="A2" s="6" t="s">
        <v>8</v>
      </c>
      <c r="B2" s="3" t="s">
        <v>9</v>
      </c>
      <c r="C2" s="3" t="s">
        <v>10</v>
      </c>
      <c r="D2" s="1">
        <v>2005</v>
      </c>
      <c r="E2" s="4">
        <v>-0.1099</v>
      </c>
      <c r="F2" s="4">
        <v>0.2203</v>
      </c>
      <c r="G2" s="5">
        <v>0.03</v>
      </c>
      <c r="H2" s="2">
        <f>(E2-G2)/F2</f>
        <v>-0.635043123014072</v>
      </c>
    </row>
    <row r="3" customFormat="1" spans="1:8">
      <c r="A3" s="3"/>
      <c r="B3" s="3"/>
      <c r="C3" s="3"/>
      <c r="D3" s="1">
        <v>2006</v>
      </c>
      <c r="E3" s="4">
        <v>1.1217</v>
      </c>
      <c r="F3" s="4">
        <v>0.2223</v>
      </c>
      <c r="G3" s="5">
        <v>0.03</v>
      </c>
      <c r="H3" s="2">
        <f>(E3-G3)/F3</f>
        <v>4.91093117408907</v>
      </c>
    </row>
    <row r="4" customFormat="1" spans="1:8">
      <c r="A4" s="3"/>
      <c r="B4" s="3"/>
      <c r="C4" s="3"/>
      <c r="D4" s="1">
        <v>2007</v>
      </c>
      <c r="E4" s="4">
        <v>1.7088</v>
      </c>
      <c r="F4" s="4">
        <v>0.369</v>
      </c>
      <c r="G4" s="5">
        <v>0.03</v>
      </c>
      <c r="H4" s="2">
        <f>(E4-G4)/F4</f>
        <v>4.54959349593496</v>
      </c>
    </row>
    <row r="5" customFormat="1" spans="1:8">
      <c r="A5" s="3"/>
      <c r="B5" s="3"/>
      <c r="C5" s="3"/>
      <c r="D5" s="1">
        <v>2008</v>
      </c>
      <c r="E5" s="4">
        <v>-0.6406</v>
      </c>
      <c r="F5" s="4">
        <v>0.4887</v>
      </c>
      <c r="G5" s="5">
        <v>0.03</v>
      </c>
      <c r="H5" s="2">
        <f>(E5-G5)/F5</f>
        <v>-1.37221199099652</v>
      </c>
    </row>
    <row r="6" customFormat="1" spans="1:8">
      <c r="A6" s="3"/>
      <c r="B6" s="3"/>
      <c r="C6" s="3"/>
      <c r="D6" s="1">
        <v>2009</v>
      </c>
      <c r="E6" s="4">
        <v>1.0646</v>
      </c>
      <c r="F6" s="4">
        <v>0.3225</v>
      </c>
      <c r="G6" s="5">
        <v>0.03</v>
      </c>
      <c r="H6" s="2">
        <f>(E6-G6)/F6</f>
        <v>3.20806201550388</v>
      </c>
    </row>
    <row r="7" customFormat="1" spans="1:8">
      <c r="A7" s="3"/>
      <c r="B7" s="3"/>
      <c r="C7" s="3"/>
      <c r="D7" s="1">
        <v>2010</v>
      </c>
      <c r="E7" s="4">
        <v>-0.0377</v>
      </c>
      <c r="F7" s="4">
        <v>0.2493</v>
      </c>
      <c r="G7" s="5">
        <v>0.03</v>
      </c>
      <c r="H7" s="2">
        <f>(E7-G7)/F7</f>
        <v>-0.271560369033293</v>
      </c>
    </row>
    <row r="8" spans="1:8">
      <c r="A8" s="3"/>
      <c r="B8" s="3"/>
      <c r="C8" s="3"/>
      <c r="D8" s="1">
        <v>2011</v>
      </c>
      <c r="E8" s="4">
        <v>-0.2801</v>
      </c>
      <c r="F8" s="4">
        <v>0.2123</v>
      </c>
      <c r="G8" s="5">
        <v>0.03</v>
      </c>
      <c r="H8" s="2">
        <f>(E8-G8)/F8</f>
        <v>-1.46066886481394</v>
      </c>
    </row>
    <row r="9" spans="1:8">
      <c r="A9" s="3"/>
      <c r="B9" s="3"/>
      <c r="C9" s="3"/>
      <c r="D9" s="1">
        <v>2012</v>
      </c>
      <c r="E9" s="4">
        <v>0.0458</v>
      </c>
      <c r="F9" s="4">
        <v>0.2109</v>
      </c>
      <c r="G9" s="5">
        <v>0.03</v>
      </c>
      <c r="H9" s="2">
        <f t="shared" ref="H8:H22" si="0">(E9-G9)/F9</f>
        <v>0.0749170222854433</v>
      </c>
    </row>
    <row r="10" spans="1:8">
      <c r="A10" s="3"/>
      <c r="B10" s="3"/>
      <c r="C10" s="3"/>
      <c r="D10" s="1">
        <v>2013</v>
      </c>
      <c r="E10" s="4">
        <v>0.0521</v>
      </c>
      <c r="F10" s="4">
        <v>0.2098</v>
      </c>
      <c r="G10" s="5">
        <v>0.03</v>
      </c>
      <c r="H10" s="2">
        <f t="shared" si="0"/>
        <v>0.105338417540515</v>
      </c>
    </row>
    <row r="11" spans="1:8">
      <c r="A11" s="3"/>
      <c r="B11" s="3"/>
      <c r="C11" s="3"/>
      <c r="D11" s="1">
        <v>2014</v>
      </c>
      <c r="E11" s="4">
        <v>0.4582</v>
      </c>
      <c r="F11" s="4">
        <v>0.1755</v>
      </c>
      <c r="G11" s="5">
        <v>0.03</v>
      </c>
      <c r="H11" s="2">
        <f t="shared" si="0"/>
        <v>2.43988603988604</v>
      </c>
    </row>
    <row r="12" spans="1:8">
      <c r="A12" s="3"/>
      <c r="B12" s="3"/>
      <c r="C12" s="3"/>
      <c r="D12" s="1">
        <v>2015</v>
      </c>
      <c r="E12" s="4">
        <v>0.3256</v>
      </c>
      <c r="F12" s="4">
        <v>0.4001</v>
      </c>
      <c r="G12" s="5">
        <v>0.03</v>
      </c>
      <c r="H12" s="2">
        <f t="shared" si="0"/>
        <v>0.738815296175956</v>
      </c>
    </row>
    <row r="13" spans="1:8">
      <c r="A13" s="3"/>
      <c r="B13" s="3"/>
      <c r="C13" s="3"/>
      <c r="D13" s="1">
        <v>2016</v>
      </c>
      <c r="E13" s="4">
        <v>-0.1441</v>
      </c>
      <c r="F13" s="4">
        <v>0.2549</v>
      </c>
      <c r="G13" s="5">
        <v>0.03</v>
      </c>
      <c r="H13" s="2">
        <f t="shared" si="0"/>
        <v>-0.683012946253433</v>
      </c>
    </row>
    <row r="14" spans="1:8">
      <c r="A14" s="3"/>
      <c r="B14" s="3"/>
      <c r="C14" s="3"/>
      <c r="D14" s="1">
        <v>2017</v>
      </c>
      <c r="E14" s="4">
        <v>0.0234</v>
      </c>
      <c r="F14" s="4">
        <v>0.1115</v>
      </c>
      <c r="G14" s="5">
        <v>0.03</v>
      </c>
      <c r="H14" s="2">
        <f t="shared" si="0"/>
        <v>-0.0591928251121076</v>
      </c>
    </row>
    <row r="15" spans="1:8">
      <c r="A15" s="3"/>
      <c r="B15" s="3"/>
      <c r="C15" s="3"/>
      <c r="D15" s="1">
        <v>2018</v>
      </c>
      <c r="E15" s="4">
        <v>-0.2994</v>
      </c>
      <c r="F15" s="4">
        <v>0.2135</v>
      </c>
      <c r="G15" s="5">
        <v>0.03</v>
      </c>
      <c r="H15" s="2">
        <f t="shared" si="0"/>
        <v>-1.54285714285714</v>
      </c>
    </row>
    <row r="16" spans="1:8">
      <c r="A16" s="3"/>
      <c r="B16" s="3"/>
      <c r="C16" s="3"/>
      <c r="D16" s="1">
        <v>2019</v>
      </c>
      <c r="E16" s="4">
        <v>0.3111</v>
      </c>
      <c r="F16" s="4">
        <v>0.2063</v>
      </c>
      <c r="G16" s="5">
        <v>0.03</v>
      </c>
      <c r="H16" s="2">
        <f t="shared" si="0"/>
        <v>1.36257876878333</v>
      </c>
    </row>
    <row r="17" spans="1:8">
      <c r="A17" s="3"/>
      <c r="B17" s="3"/>
      <c r="C17" s="3"/>
      <c r="D17" s="1">
        <v>2020</v>
      </c>
      <c r="E17" s="4">
        <v>0.2492</v>
      </c>
      <c r="F17" s="4">
        <v>0.2339</v>
      </c>
      <c r="G17" s="5">
        <v>0.03</v>
      </c>
      <c r="H17" s="2">
        <f t="shared" si="0"/>
        <v>0.937152629328773</v>
      </c>
    </row>
    <row r="18" spans="1:8">
      <c r="A18" s="3"/>
      <c r="B18" s="3"/>
      <c r="C18" s="3"/>
      <c r="D18" s="1">
        <v>2021</v>
      </c>
      <c r="E18" s="4">
        <v>0.0619</v>
      </c>
      <c r="F18" s="4">
        <v>0.1601</v>
      </c>
      <c r="G18" s="5">
        <v>0.03</v>
      </c>
      <c r="H18" s="2">
        <f t="shared" si="0"/>
        <v>0.199250468457214</v>
      </c>
    </row>
    <row r="19" spans="1:8">
      <c r="A19" s="3"/>
      <c r="B19" s="3"/>
      <c r="C19" s="3"/>
      <c r="D19" s="1">
        <v>2022</v>
      </c>
      <c r="E19" s="4">
        <v>-0.2032</v>
      </c>
      <c r="F19" s="4">
        <v>0.2051</v>
      </c>
      <c r="G19" s="5">
        <v>0.03</v>
      </c>
      <c r="H19" s="2">
        <f t="shared" si="0"/>
        <v>-1.13700633837153</v>
      </c>
    </row>
    <row r="20" spans="1:8">
      <c r="A20" s="3"/>
      <c r="B20" s="3"/>
      <c r="C20" s="3"/>
      <c r="D20" s="1">
        <v>2023</v>
      </c>
      <c r="E20" s="4">
        <v>-0.0704</v>
      </c>
      <c r="F20" s="4">
        <v>0.1277</v>
      </c>
      <c r="G20" s="5">
        <v>0.03</v>
      </c>
      <c r="H20" s="2">
        <f t="shared" si="0"/>
        <v>-0.786217697729052</v>
      </c>
    </row>
    <row r="21" spans="1:8">
      <c r="A21" s="3"/>
      <c r="B21" s="3"/>
      <c r="C21" s="3"/>
      <c r="D21" s="1">
        <v>2024</v>
      </c>
      <c r="E21" s="4">
        <v>0.0743</v>
      </c>
      <c r="F21" s="4">
        <v>0.2502</v>
      </c>
      <c r="G21" s="5">
        <v>0.03</v>
      </c>
      <c r="H21" s="2">
        <f t="shared" si="0"/>
        <v>0.177058353317346</v>
      </c>
    </row>
    <row r="22" spans="1:8">
      <c r="A22" s="3"/>
      <c r="B22" s="3"/>
      <c r="C22" s="3"/>
      <c r="D22" s="1">
        <v>2025</v>
      </c>
      <c r="E22" s="4">
        <v>0.246</v>
      </c>
      <c r="F22" s="4">
        <v>0.1769</v>
      </c>
      <c r="G22" s="5">
        <v>0.03</v>
      </c>
      <c r="H22" s="2">
        <f t="shared" si="0"/>
        <v>1.22102882984737</v>
      </c>
    </row>
  </sheetData>
  <mergeCells count="3">
    <mergeCell ref="A2:A22"/>
    <mergeCell ref="B2:B22"/>
    <mergeCell ref="C2:C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中证全指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2026-01-27T14:59:26Z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