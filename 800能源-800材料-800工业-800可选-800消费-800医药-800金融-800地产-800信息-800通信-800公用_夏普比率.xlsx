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747" firstSheet="8" activeTab="10"/>
  </bookViews>
  <sheets>
    <sheet name="800能源" sheetId="1" r:id="rId1"/>
    <sheet name="800材料" sheetId="2" r:id="rId2"/>
    <sheet name="800工业" sheetId="3" r:id="rId3"/>
    <sheet name="800可选" sheetId="4" r:id="rId4"/>
    <sheet name="800消费" sheetId="5" r:id="rId5"/>
    <sheet name="800医药" sheetId="6" r:id="rId6"/>
    <sheet name="800金融" sheetId="7" r:id="rId7"/>
    <sheet name="800地产" sheetId="8" r:id="rId8"/>
    <sheet name="800信息" sheetId="9" r:id="rId9"/>
    <sheet name="800通信" sheetId="10" r:id="rId10"/>
    <sheet name="800公用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<sst xmlns="http://schemas.openxmlformats.org/spreadsheetml/2006/main" count="121" uniqueCount="41">
  <si>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</si>
  <si>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</si>
  <si>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</si>
  <si>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</si>
  <si>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</si>
  <si>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</si>
  <si>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</si>
  <si>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</si>
  <si>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000928</t>
  </si>
  <si>
    <t>中证能源指数</t>
  </si>
  <si>
    <t>800能源</t>
  </si>
  <si>
    <t>000929</t>
  </si>
  <si>
    <t>中证原材料指数</t>
  </si>
  <si>
    <t>800材料</t>
  </si>
  <si>
    <t>000930</t>
  </si>
  <si>
    <t>中证工业指数</t>
  </si>
  <si>
    <t>800工业</t>
  </si>
  <si>
    <t>000931</t>
  </si>
  <si>
    <t>中证可选消费指数</t>
  </si>
  <si>
    <t>800可选</t>
  </si>
  <si>
    <t>000932</t>
  </si>
  <si>
    <t>中证主要消费指数</t>
  </si>
  <si>
    <t>800消费</t>
  </si>
  <si>
    <t>000933</t>
  </si>
  <si>
    <t>中证医药卫生指数</t>
  </si>
  <si>
    <t>800医卫</t>
  </si>
  <si>
    <t>H30086</t>
  </si>
  <si>
    <t>中证800金融指数</t>
  </si>
  <si>
    <t>800金融</t>
  </si>
  <si>
    <t>中证800地产指数</t>
  </si>
  <si>
    <t>800地产</t>
  </si>
  <si>
    <t>--</t>
  </si>
  <si>
    <t>000935</t>
  </si>
  <si>
    <t>中证信息技术指数</t>
  </si>
  <si>
    <t>800信息</t>
  </si>
  <si>
    <t>000936</t>
  </si>
  <si>
    <t>中证通信服务指数</t>
  </si>
  <si>
    <t>800通信</t>
  </si>
  <si>
    <t>000937</t>
  </si>
  <si>
    <t>中证公用事业指数</t>
  </si>
  <si>
    <t>800公用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</si>
</sst>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0" fontId="1" fillId="0" borderId="0" xfId="0" applyNumberFormat="1" applyFont="1" applyFill="1" applyBorder="1" applyAlignment="1">
      <alignment horizontal="left"/>
    </xf>
    <xf numFmtId="9" fontId="1" fillId="0" borderId="0" xfId="0" applyNumberFormat="1" applyFont="1" applyFill="1" applyBorder="1" applyAlignment="1">
      <alignment horizontal="left"/>
    </xf>
    <xf numFmtId="176" fontId="1" fillId="0" borderId="0" xfId="0" applyNumberFormat="1" applyFont="1" applyFill="1" applyBorder="1" applyAlignment="1">
      <alignment horizontal="left"/>
    </xf>
    <xf numFmtId="10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left" vertical="center"/>
    </xf>
    <xf numFmtId="176" fontId="1" fillId="0" borderId="0" xfId="0" applyNumberFormat="1" applyFont="1" applyFill="1" applyBorder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H1" sqref="H$1:H$1048576"/>
    </sheetView>
  </sheetViews>
  <sheetFormatPr defaultColWidth="9" defaultRowHeight="13.5"/>
  <cols>
    <col min="1" max="1" width="9.24778761061947" style="1" customWidth="1"/>
    <col min="2" max="3" width="13.4336283185841" style="1" customWidth="1"/>
    <col min="4" max="4" width="5.38938053097345" style="1" customWidth="1"/>
    <col min="5" max="7" width="11.3097345132743" style="1" customWidth="1"/>
    <col min="8" max="8" width="13.4336283185841" style="2" customWidth="1"/>
    <col min="9" max="16384" width="9" style="3"/>
  </cols>
  <sheetData>
    <row r="1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15">
      <c r="A2" s="19" t="s">
        <v>8</v>
      </c>
      <c r="B2" s="20" t="s">
        <v>9</v>
      </c>
      <c r="C2" s="20" t="s">
        <v>10</v>
      </c>
      <c r="D2" s="1">
        <v>2005</v>
      </c>
      <c r="E2" s="8">
        <v>0.0218</v>
      </c>
      <c r="F2" s="8">
        <v>0.2424</v>
      </c>
      <c r="G2" s="9">
        <v>0.03</v>
      </c>
      <c r="H2" s="10">
        <f>(E2-G2)/F2</f>
        <v>-0.0338283828382838</v>
      </c>
      <c r="I2" s="14"/>
      <c r="J2" s="14"/>
      <c r="K2" s="14"/>
      <c r="L2" s="14"/>
      <c r="M2" s="14"/>
      <c r="N2" s="14"/>
      <c r="O2" s="14"/>
    </row>
    <row r="3" spans="1:15">
      <c r="A3" s="19"/>
      <c r="B3" s="20"/>
      <c r="C3" s="20"/>
      <c r="D3" s="1">
        <v>2006</v>
      </c>
      <c r="E3" s="11">
        <v>1.1771</v>
      </c>
      <c r="F3" s="11">
        <v>0.2424</v>
      </c>
      <c r="G3" s="9">
        <v>0.03</v>
      </c>
      <c r="H3" s="10">
        <f t="shared" ref="H3:H22" si="0">(E3-G3)/F3</f>
        <v>4.73226072607261</v>
      </c>
    </row>
    <row r="4" spans="1:15">
      <c r="A4" s="19"/>
      <c r="B4" s="20"/>
      <c r="C4" s="20"/>
      <c r="D4" s="1">
        <v>2007</v>
      </c>
      <c r="E4" s="11">
        <v>1.9155</v>
      </c>
      <c r="F4" s="11">
        <v>0.4369</v>
      </c>
      <c r="G4" s="9">
        <v>0.03</v>
      </c>
      <c r="H4" s="10">
        <f t="shared" si="0"/>
        <v>4.31563286793317</v>
      </c>
    </row>
    <row r="5" spans="1:15">
      <c r="A5" s="19"/>
      <c r="B5" s="20"/>
      <c r="C5" s="20"/>
      <c r="D5" s="1">
        <v>2008</v>
      </c>
      <c r="E5" s="11">
        <v>-0.6905</v>
      </c>
      <c r="F5" s="11">
        <v>0.4984</v>
      </c>
      <c r="G5" s="9">
        <v>0.03</v>
      </c>
      <c r="H5" s="10">
        <f t="shared" si="0"/>
        <v>-1.44562600321027</v>
      </c>
    </row>
    <row r="6" spans="1:15">
      <c r="A6" s="19"/>
      <c r="B6" s="20"/>
      <c r="C6" s="20"/>
      <c r="D6" s="1">
        <v>2009</v>
      </c>
      <c r="E6" s="11">
        <v>1.3123</v>
      </c>
      <c r="F6" s="11">
        <v>0.4192</v>
      </c>
      <c r="G6" s="9">
        <v>0.03</v>
      </c>
      <c r="H6" s="10">
        <f t="shared" si="0"/>
        <v>3.05892175572519</v>
      </c>
    </row>
    <row r="7" spans="1:15">
      <c r="A7" s="19"/>
      <c r="B7" s="20"/>
      <c r="C7" s="20"/>
      <c r="D7" s="1">
        <v>2010</v>
      </c>
      <c r="E7" s="11">
        <v>-0.1065</v>
      </c>
      <c r="F7" s="11">
        <v>0.3414</v>
      </c>
      <c r="G7" s="9">
        <v>0.03</v>
      </c>
      <c r="H7" s="10">
        <f t="shared" si="0"/>
        <v>-0.399824253075571</v>
      </c>
    </row>
    <row r="8" spans="1:15">
      <c r="A8" s="19"/>
      <c r="B8" s="20"/>
      <c r="C8" s="20"/>
      <c r="D8" s="1">
        <v>2011</v>
      </c>
      <c r="E8" s="11">
        <v>-0.2499</v>
      </c>
      <c r="F8" s="11">
        <v>0.2681</v>
      </c>
      <c r="G8" s="9">
        <v>0.03</v>
      </c>
      <c r="H8" s="10">
        <f t="shared" si="0"/>
        <v>-1.04401342782544</v>
      </c>
    </row>
    <row r="9" spans="1:15">
      <c r="A9" s="19"/>
      <c r="B9" s="20"/>
      <c r="C9" s="20"/>
      <c r="D9" s="1">
        <v>2012</v>
      </c>
      <c r="E9" s="11">
        <v>-0.0528</v>
      </c>
      <c r="F9" s="11">
        <v>0.2562</v>
      </c>
      <c r="G9" s="9">
        <v>0.03</v>
      </c>
      <c r="H9" s="10">
        <f t="shared" si="0"/>
        <v>-0.323185011709602</v>
      </c>
    </row>
    <row r="10" spans="1:15">
      <c r="A10" s="19"/>
      <c r="B10" s="20"/>
      <c r="C10" s="20"/>
      <c r="D10" s="1">
        <v>2013</v>
      </c>
      <c r="E10" s="11">
        <v>-0.3041</v>
      </c>
      <c r="F10" s="11">
        <v>0.2328</v>
      </c>
      <c r="G10" s="9">
        <v>0.03</v>
      </c>
      <c r="H10" s="10">
        <f t="shared" si="0"/>
        <v>-1.43513745704467</v>
      </c>
    </row>
    <row r="11" spans="1:15">
      <c r="A11" s="19"/>
      <c r="B11" s="20"/>
      <c r="C11" s="20"/>
      <c r="D11" s="1">
        <v>2014</v>
      </c>
      <c r="E11" s="11">
        <v>0.1987</v>
      </c>
      <c r="F11" s="11">
        <v>0.2184</v>
      </c>
      <c r="G11" s="9">
        <v>0.03</v>
      </c>
      <c r="H11" s="10">
        <f t="shared" si="0"/>
        <v>0.772435897435897</v>
      </c>
    </row>
    <row r="12" spans="1:15">
      <c r="A12" s="19"/>
      <c r="B12" s="20"/>
      <c r="C12" s="20"/>
      <c r="D12" s="1">
        <v>2015</v>
      </c>
      <c r="E12" s="11">
        <v>-0.1547</v>
      </c>
      <c r="F12" s="11">
        <v>0.4253</v>
      </c>
      <c r="G12" s="9">
        <v>0.03</v>
      </c>
      <c r="H12" s="10">
        <f t="shared" si="0"/>
        <v>-0.434281683517517</v>
      </c>
    </row>
    <row r="13" spans="1:15">
      <c r="A13" s="19"/>
      <c r="B13" s="20"/>
      <c r="C13" s="20"/>
      <c r="D13" s="1">
        <v>2016</v>
      </c>
      <c r="E13" s="11">
        <v>-0.0203</v>
      </c>
      <c r="F13" s="11">
        <v>0.2762</v>
      </c>
      <c r="G13" s="9">
        <v>0.03</v>
      </c>
      <c r="H13" s="10">
        <f t="shared" si="0"/>
        <v>-0.182114409847936</v>
      </c>
    </row>
    <row r="14" spans="1:15">
      <c r="A14" s="19"/>
      <c r="B14" s="20"/>
      <c r="C14" s="20"/>
      <c r="D14" s="1">
        <v>2017</v>
      </c>
      <c r="E14" s="11">
        <v>0.0631</v>
      </c>
      <c r="F14" s="11">
        <v>0.145</v>
      </c>
      <c r="G14" s="9">
        <v>0.03</v>
      </c>
      <c r="H14" s="10">
        <f t="shared" si="0"/>
        <v>0.228275862068965</v>
      </c>
    </row>
    <row r="15" spans="1:15">
      <c r="A15" s="19"/>
      <c r="B15" s="20"/>
      <c r="C15" s="20"/>
      <c r="D15" s="1">
        <v>2018</v>
      </c>
      <c r="E15" s="11">
        <v>-0.2549</v>
      </c>
      <c r="F15" s="11">
        <v>0.2345</v>
      </c>
      <c r="G15" s="9">
        <v>0.03</v>
      </c>
      <c r="H15" s="10">
        <f t="shared" si="0"/>
        <v>-1.21492537313433</v>
      </c>
    </row>
    <row r="16" spans="1:15">
      <c r="A16" s="19"/>
      <c r="B16" s="20"/>
      <c r="C16" s="20"/>
      <c r="D16" s="1">
        <v>2019</v>
      </c>
      <c r="E16" s="11">
        <v>0.1028</v>
      </c>
      <c r="F16" s="11">
        <v>0.1835</v>
      </c>
      <c r="G16" s="9">
        <v>0.03</v>
      </c>
      <c r="H16" s="10">
        <f t="shared" si="0"/>
        <v>0.396730245231608</v>
      </c>
    </row>
    <row r="17" spans="1:8">
      <c r="A17" s="19"/>
      <c r="B17" s="20"/>
      <c r="C17" s="20"/>
      <c r="D17" s="1">
        <v>2020</v>
      </c>
      <c r="E17" s="11">
        <v>-0.1204</v>
      </c>
      <c r="F17" s="11">
        <v>0.23</v>
      </c>
      <c r="G17" s="9">
        <v>0.03</v>
      </c>
      <c r="H17" s="10">
        <f t="shared" si="0"/>
        <v>-0.653913043478261</v>
      </c>
    </row>
    <row r="18" spans="1:8">
      <c r="A18" s="19"/>
      <c r="B18" s="20"/>
      <c r="C18" s="20"/>
      <c r="D18" s="1">
        <v>2021</v>
      </c>
      <c r="E18" s="11">
        <v>0.3593</v>
      </c>
      <c r="F18" s="11">
        <v>0.3243</v>
      </c>
      <c r="G18" s="9">
        <v>0.03</v>
      </c>
      <c r="H18" s="10">
        <f t="shared" si="0"/>
        <v>1.01541782300339</v>
      </c>
    </row>
    <row r="19" spans="1:8">
      <c r="A19" s="19"/>
      <c r="B19" s="20"/>
      <c r="C19" s="20"/>
      <c r="D19" s="1">
        <v>2022</v>
      </c>
      <c r="E19" s="11">
        <v>0.118</v>
      </c>
      <c r="F19" s="11">
        <v>0.3218</v>
      </c>
      <c r="G19" s="9">
        <v>0.03</v>
      </c>
      <c r="H19" s="10">
        <f t="shared" si="0"/>
        <v>0.273461777501554</v>
      </c>
    </row>
    <row r="20" spans="1:8">
      <c r="A20" s="19"/>
      <c r="B20" s="20"/>
      <c r="C20" s="20"/>
      <c r="D20" s="1">
        <v>2023</v>
      </c>
      <c r="E20" s="11">
        <v>0.1182</v>
      </c>
      <c r="F20" s="11">
        <v>0.1748</v>
      </c>
      <c r="G20" s="9">
        <v>0.03</v>
      </c>
      <c r="H20" s="10">
        <f t="shared" si="0"/>
        <v>0.504576659038902</v>
      </c>
    </row>
    <row r="21" spans="1:8">
      <c r="A21" s="19"/>
      <c r="B21" s="20"/>
      <c r="C21" s="20"/>
      <c r="D21" s="1">
        <v>2024</v>
      </c>
      <c r="E21" s="11">
        <v>0.119</v>
      </c>
      <c r="F21" s="11">
        <v>0.2411</v>
      </c>
      <c r="G21" s="9">
        <v>0.03</v>
      </c>
      <c r="H21" s="10">
        <f t="shared" si="0"/>
        <v>0.369141435089175</v>
      </c>
    </row>
    <row r="22" spans="1:8">
      <c r="A22" s="19"/>
      <c r="B22" s="20"/>
      <c r="C22" s="20"/>
      <c r="D22" s="1">
        <v>2025</v>
      </c>
      <c r="E22" s="11">
        <v>-0.0091</v>
      </c>
      <c r="F22" s="11">
        <v>0.1721</v>
      </c>
      <c r="G22" s="9">
        <v>0.03</v>
      </c>
      <c r="H22" s="10">
        <f t="shared" si="0"/>
        <v>-0.227193492155723</v>
      </c>
    </row>
    <row r="244" spans="1:15">
      <c r="A244" s="13"/>
      <c r="B244" s="13"/>
      <c r="C244" s="13"/>
      <c r="D244" s="13"/>
      <c r="E244" s="13"/>
      <c r="F244" s="13"/>
      <c r="G244" s="13"/>
      <c r="H244" s="10"/>
      <c r="I244" s="14"/>
      <c r="J244" s="14"/>
      <c r="K244" s="14"/>
      <c r="L244" s="14"/>
      <c r="M244" s="14"/>
      <c r="N244" s="14"/>
      <c r="O244" s="14"/>
    </row>
    <row r="485" spans="1:15">
      <c r="A485" s="13"/>
      <c r="B485" s="13"/>
      <c r="C485" s="13"/>
      <c r="D485" s="13"/>
      <c r="E485" s="13"/>
      <c r="F485" s="13"/>
      <c r="G485" s="13"/>
      <c r="H485" s="10"/>
      <c r="I485" s="14"/>
      <c r="J485" s="14"/>
      <c r="K485" s="14"/>
      <c r="L485" s="14"/>
      <c r="M485" s="14"/>
      <c r="N485" s="14"/>
      <c r="O485" s="14"/>
    </row>
    <row r="727" spans="1:15">
      <c r="A727" s="13"/>
      <c r="B727" s="13"/>
      <c r="C727" s="13"/>
      <c r="D727" s="13"/>
      <c r="E727" s="13"/>
      <c r="F727" s="13"/>
      <c r="G727" s="13"/>
      <c r="H727" s="10"/>
      <c r="I727" s="14"/>
      <c r="J727" s="14"/>
      <c r="K727" s="14"/>
      <c r="L727" s="14"/>
      <c r="M727" s="14"/>
      <c r="N727" s="14"/>
      <c r="O727" s="14"/>
    </row>
    <row r="973" spans="1:15">
      <c r="A973" s="13"/>
      <c r="B973" s="13"/>
      <c r="C973" s="13"/>
      <c r="D973" s="13"/>
      <c r="E973" s="13"/>
      <c r="F973" s="13"/>
      <c r="G973" s="13"/>
      <c r="H973" s="10"/>
      <c r="I973" s="14"/>
      <c r="J973" s="14"/>
      <c r="K973" s="14"/>
      <c r="L973" s="14"/>
      <c r="M973" s="14"/>
      <c r="N973" s="14"/>
      <c r="O973" s="14"/>
    </row>
    <row r="1217" spans="1:15">
      <c r="A1217" s="13"/>
      <c r="B1217" s="13"/>
      <c r="C1217" s="13"/>
      <c r="D1217" s="13"/>
      <c r="E1217" s="13"/>
      <c r="F1217" s="13"/>
      <c r="G1217" s="13"/>
      <c r="H1217" s="10"/>
      <c r="I1217" s="14"/>
      <c r="J1217" s="14"/>
      <c r="K1217" s="14"/>
      <c r="L1217" s="14"/>
      <c r="M1217" s="14"/>
      <c r="N1217" s="14"/>
      <c r="O1217" s="14"/>
    </row>
    <row r="1459" spans="1:15">
      <c r="A1459" s="13"/>
      <c r="B1459" s="13"/>
      <c r="C1459" s="13"/>
      <c r="D1459" s="13"/>
      <c r="E1459" s="13"/>
      <c r="F1459" s="13"/>
      <c r="G1459" s="13"/>
      <c r="H1459" s="10"/>
      <c r="I1459" s="14"/>
      <c r="J1459" s="14"/>
      <c r="K1459" s="14"/>
      <c r="L1459" s="14"/>
      <c r="M1459" s="14"/>
      <c r="N1459" s="14"/>
      <c r="O1459" s="14"/>
    </row>
    <row r="1703" spans="1:15">
      <c r="A1703" s="13"/>
      <c r="B1703" s="13"/>
      <c r="C1703" s="13"/>
      <c r="D1703" s="13"/>
      <c r="E1703" s="13"/>
      <c r="F1703" s="13"/>
      <c r="G1703" s="13"/>
      <c r="H1703" s="10"/>
      <c r="I1703" s="14"/>
      <c r="J1703" s="14"/>
      <c r="K1703" s="14"/>
      <c r="L1703" s="14"/>
      <c r="M1703" s="14"/>
      <c r="N1703" s="14"/>
      <c r="O1703" s="14"/>
    </row>
    <row r="1946" spans="1:15">
      <c r="A1946" s="13"/>
      <c r="B1946" s="13"/>
      <c r="C1946" s="13"/>
      <c r="D1946" s="13"/>
      <c r="E1946" s="13"/>
      <c r="F1946" s="13"/>
      <c r="G1946" s="13"/>
      <c r="H1946" s="10"/>
      <c r="I1946" s="14"/>
      <c r="J1946" s="14"/>
      <c r="K1946" s="14"/>
      <c r="L1946" s="14"/>
      <c r="M1946" s="14"/>
      <c r="N1946" s="14"/>
      <c r="O1946" s="14"/>
    </row>
    <row r="2184" spans="1:15">
      <c r="A2184" s="13"/>
      <c r="B2184" s="13"/>
      <c r="C2184" s="13"/>
      <c r="D2184" s="13"/>
      <c r="E2184" s="13"/>
      <c r="F2184" s="13"/>
      <c r="G2184" s="13"/>
      <c r="H2184" s="10"/>
      <c r="I2184" s="14"/>
      <c r="J2184" s="14"/>
      <c r="K2184" s="14"/>
      <c r="L2184" s="14"/>
      <c r="M2184" s="14"/>
      <c r="N2184" s="14"/>
      <c r="O2184" s="14"/>
    </row>
    <row r="2429" spans="1:15">
      <c r="A2429" s="13"/>
      <c r="B2429" s="13"/>
      <c r="C2429" s="13"/>
      <c r="D2429" s="13"/>
      <c r="E2429" s="13"/>
      <c r="F2429" s="13"/>
      <c r="G2429" s="13"/>
      <c r="H2429" s="10"/>
      <c r="I2429" s="14"/>
      <c r="J2429" s="14"/>
      <c r="K2429" s="14"/>
      <c r="L2429" s="14"/>
      <c r="M2429" s="14"/>
      <c r="N2429" s="14"/>
      <c r="O2429" s="14"/>
    </row>
    <row r="2673" spans="1:15">
      <c r="A2673" s="13"/>
      <c r="B2673" s="13"/>
      <c r="C2673" s="13"/>
      <c r="D2673" s="13"/>
      <c r="E2673" s="13"/>
      <c r="F2673" s="13"/>
      <c r="G2673" s="13"/>
      <c r="H2673" s="10"/>
      <c r="I2673" s="14"/>
      <c r="J2673" s="14"/>
      <c r="K2673" s="14"/>
      <c r="L2673" s="14"/>
      <c r="M2673" s="14"/>
      <c r="N2673" s="14"/>
      <c r="O2673" s="14"/>
    </row>
    <row r="2917" spans="1:15">
      <c r="A2917" s="13"/>
      <c r="B2917" s="13"/>
      <c r="C2917" s="13"/>
      <c r="D2917" s="13"/>
      <c r="E2917" s="13"/>
      <c r="F2917" s="13"/>
      <c r="G2917" s="13"/>
      <c r="H2917" s="10"/>
      <c r="I2917" s="14"/>
      <c r="J2917" s="14"/>
      <c r="K2917" s="14"/>
      <c r="L2917" s="14"/>
      <c r="M2917" s="14"/>
      <c r="N2917" s="14"/>
      <c r="O2917" s="14"/>
    </row>
    <row r="3161" spans="1:15">
      <c r="A3161" s="13"/>
      <c r="B3161" s="13"/>
      <c r="C3161" s="13"/>
      <c r="D3161" s="13"/>
      <c r="E3161" s="13"/>
      <c r="F3161" s="13"/>
      <c r="G3161" s="13"/>
      <c r="H3161" s="10"/>
      <c r="I3161" s="14"/>
      <c r="J3161" s="14"/>
      <c r="K3161" s="14"/>
      <c r="L3161" s="14"/>
      <c r="M3161" s="14"/>
      <c r="N3161" s="14"/>
      <c r="O3161" s="14"/>
    </row>
    <row r="3405" spans="1:15">
      <c r="A3405" s="13"/>
      <c r="B3405" s="13"/>
      <c r="C3405" s="13"/>
      <c r="D3405" s="13"/>
      <c r="E3405" s="13"/>
      <c r="F3405" s="13"/>
      <c r="G3405" s="13"/>
      <c r="H3405" s="10"/>
      <c r="I3405" s="14"/>
      <c r="J3405" s="14"/>
      <c r="K3405" s="14"/>
      <c r="L3405" s="14"/>
      <c r="M3405" s="14"/>
      <c r="N3405" s="14"/>
      <c r="O3405" s="14"/>
    </row>
    <row r="3649" spans="1:15">
      <c r="A3649" s="13"/>
      <c r="B3649" s="13"/>
      <c r="C3649" s="13"/>
      <c r="D3649" s="13"/>
      <c r="E3649" s="13"/>
      <c r="F3649" s="13"/>
      <c r="G3649" s="13"/>
      <c r="H3649" s="10"/>
      <c r="I3649" s="14"/>
      <c r="J3649" s="14"/>
      <c r="K3649" s="14"/>
      <c r="L3649" s="14"/>
      <c r="M3649" s="14"/>
      <c r="N3649" s="14"/>
      <c r="O3649" s="14"/>
    </row>
    <row r="3892" spans="1:15">
      <c r="A3892" s="13"/>
      <c r="B3892" s="13"/>
      <c r="C3892" s="13"/>
      <c r="D3892" s="13"/>
      <c r="E3892" s="13"/>
      <c r="F3892" s="13"/>
      <c r="G3892" s="13"/>
      <c r="H3892" s="10"/>
      <c r="I3892" s="14"/>
      <c r="J3892" s="14"/>
      <c r="K3892" s="14"/>
      <c r="L3892" s="14"/>
      <c r="M3892" s="14"/>
      <c r="N3892" s="14"/>
      <c r="O3892" s="14"/>
    </row>
    <row r="4135" spans="1:15">
      <c r="A4135" s="13"/>
      <c r="B4135" s="13"/>
      <c r="C4135" s="13"/>
      <c r="D4135" s="13"/>
      <c r="E4135" s="13"/>
      <c r="F4135" s="13"/>
      <c r="G4135" s="13"/>
      <c r="H4135" s="10"/>
      <c r="I4135" s="14"/>
      <c r="J4135" s="14"/>
      <c r="K4135" s="14"/>
      <c r="L4135" s="14"/>
      <c r="M4135" s="14"/>
      <c r="N4135" s="14"/>
      <c r="O4135" s="14"/>
    </row>
    <row r="4377" spans="1:15">
      <c r="A4377" s="13"/>
      <c r="B4377" s="13"/>
      <c r="C4377" s="13"/>
      <c r="D4377" s="13"/>
      <c r="E4377" s="13"/>
      <c r="F4377" s="13"/>
      <c r="G4377" s="13"/>
      <c r="H4377" s="10"/>
      <c r="I4377" s="14"/>
      <c r="J4377" s="14"/>
      <c r="K4377" s="14"/>
      <c r="L4377" s="14"/>
      <c r="M4377" s="14"/>
      <c r="N4377" s="14"/>
      <c r="O4377" s="14"/>
    </row>
    <row r="4619" spans="1:15">
      <c r="A4619" s="13"/>
      <c r="B4619" s="13"/>
      <c r="C4619" s="13"/>
      <c r="D4619" s="13"/>
      <c r="E4619" s="13"/>
      <c r="F4619" s="13"/>
      <c r="G4619" s="13"/>
      <c r="H4619" s="10"/>
      <c r="I4619" s="14"/>
      <c r="J4619" s="14"/>
      <c r="K4619" s="14"/>
      <c r="L4619" s="14"/>
      <c r="M4619" s="14"/>
      <c r="N4619" s="14"/>
      <c r="O4619" s="14"/>
    </row>
    <row r="4861" spans="1:15">
      <c r="A4861" s="13"/>
      <c r="B4861" s="13"/>
      <c r="C4861" s="13"/>
      <c r="D4861" s="13"/>
      <c r="E4861" s="13"/>
      <c r="F4861" s="13"/>
      <c r="G4861" s="13"/>
      <c r="H4861" s="10"/>
      <c r="I4861" s="14"/>
      <c r="J4861" s="14"/>
      <c r="K4861" s="14"/>
      <c r="L4861" s="14"/>
      <c r="M4861" s="14"/>
      <c r="N4861" s="14"/>
      <c r="O4861" s="14"/>
    </row>
    <row r="5104" s="18" customFormat="1" spans="1:15">
      <c r="A5104" s="15"/>
      <c r="B5104" s="15"/>
      <c r="C5104" s="15"/>
      <c r="D5104" s="15"/>
      <c r="E5104" s="15"/>
      <c r="F5104" s="15"/>
      <c r="G5104" s="15"/>
      <c r="H5104" s="16"/>
      <c r="I5104" s="17"/>
      <c r="J5104" s="17"/>
      <c r="K5104" s="17"/>
      <c r="L5104" s="17"/>
      <c r="M5104" s="17"/>
      <c r="N5104" s="17"/>
      <c r="O5104" s="17"/>
    </row>
  </sheetData>
  <mergeCells count="3">
    <mergeCell ref="A2:A22"/>
    <mergeCell ref="B2:B22"/>
    <mergeCell ref="C2:C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I18" sqref="I18"/>
    </sheetView>
  </sheetViews>
  <sheetFormatPr defaultColWidth="9.02654867256637" defaultRowHeight="13.5" outlineLevelCol="7"/>
  <cols>
    <col min="1" max="1" width="9.24778761061947" style="1" customWidth="1"/>
    <col min="2" max="2" width="15.6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21" t="s">
        <v>11</v>
      </c>
      <c r="B2" s="7" t="s">
        <v>12</v>
      </c>
      <c r="C2" s="7" t="s">
        <v>13</v>
      </c>
      <c r="D2" s="1">
        <v>2005</v>
      </c>
      <c r="E2" s="8">
        <v>-0.1345</v>
      </c>
      <c r="F2" s="8">
        <v>0.2194</v>
      </c>
      <c r="G2" s="9">
        <v>0.03</v>
      </c>
      <c r="H2" s="10">
        <f>(E2-G2)/F2</f>
        <v>-0.749772105742935</v>
      </c>
    </row>
    <row r="3" spans="1:8">
      <c r="A3" s="6"/>
      <c r="B3" s="7"/>
      <c r="C3" s="7"/>
      <c r="D3" s="1">
        <v>2006</v>
      </c>
      <c r="E3" s="11">
        <v>1.0939</v>
      </c>
      <c r="F3" s="11">
        <v>0.2359</v>
      </c>
      <c r="G3" s="9">
        <v>0.03</v>
      </c>
      <c r="H3" s="10">
        <f t="shared" ref="H3:H22" si="0">(E3-G3)/F3</f>
        <v>4.50996184824078</v>
      </c>
    </row>
    <row r="4" spans="1:8">
      <c r="A4" s="6"/>
      <c r="B4" s="7"/>
      <c r="C4" s="7"/>
      <c r="D4" s="1">
        <v>2007</v>
      </c>
      <c r="E4" s="11">
        <v>2.079</v>
      </c>
      <c r="F4" s="11">
        <v>0.4228</v>
      </c>
      <c r="G4" s="9">
        <v>0.03</v>
      </c>
      <c r="H4" s="10">
        <f t="shared" si="0"/>
        <v>4.84626300851466</v>
      </c>
    </row>
    <row r="5" spans="1:8">
      <c r="A5" s="6"/>
      <c r="B5" s="7"/>
      <c r="C5" s="7"/>
      <c r="D5" s="1">
        <v>2008</v>
      </c>
      <c r="E5" s="11">
        <v>-0.7024</v>
      </c>
      <c r="F5" s="11">
        <v>0.5047</v>
      </c>
      <c r="G5" s="9">
        <v>0.03</v>
      </c>
      <c r="H5" s="10">
        <f t="shared" si="0"/>
        <v>-1.45115910441847</v>
      </c>
    </row>
    <row r="6" spans="1:8">
      <c r="A6" s="6"/>
      <c r="B6" s="7"/>
      <c r="C6" s="7"/>
      <c r="D6" s="1">
        <v>2009</v>
      </c>
      <c r="E6" s="11">
        <v>1.2187</v>
      </c>
      <c r="F6" s="11">
        <v>0.3968</v>
      </c>
      <c r="G6" s="9">
        <v>0.03</v>
      </c>
      <c r="H6" s="10">
        <f t="shared" si="0"/>
        <v>2.99571572580645</v>
      </c>
    </row>
    <row r="7" spans="1:8">
      <c r="A7" s="6"/>
      <c r="B7" s="7"/>
      <c r="C7" s="7"/>
      <c r="D7" s="1">
        <v>2010</v>
      </c>
      <c r="E7" s="11">
        <v>-0.0046</v>
      </c>
      <c r="F7" s="11">
        <v>0.3024</v>
      </c>
      <c r="G7" s="9">
        <v>0.03</v>
      </c>
      <c r="H7" s="10">
        <f t="shared" si="0"/>
        <v>-0.114417989417989</v>
      </c>
    </row>
    <row r="8" spans="1:8">
      <c r="A8" s="6"/>
      <c r="B8" s="7"/>
      <c r="C8" s="7"/>
      <c r="D8" s="1">
        <v>2011</v>
      </c>
      <c r="E8" s="11">
        <v>-0.3641</v>
      </c>
      <c r="F8" s="11">
        <v>0.2568</v>
      </c>
      <c r="G8" s="9">
        <v>0.03</v>
      </c>
      <c r="H8" s="10">
        <f t="shared" si="0"/>
        <v>-1.53465732087227</v>
      </c>
    </row>
    <row r="9" spans="1:8">
      <c r="A9" s="6"/>
      <c r="B9" s="7"/>
      <c r="C9" s="7"/>
      <c r="D9" s="1">
        <v>2012</v>
      </c>
      <c r="E9" s="11">
        <v>0.0176</v>
      </c>
      <c r="F9" s="11">
        <v>0.2662</v>
      </c>
      <c r="G9" s="9">
        <v>0.03</v>
      </c>
      <c r="H9" s="10">
        <f t="shared" si="0"/>
        <v>-0.0465815176558978</v>
      </c>
    </row>
    <row r="10" spans="1:8">
      <c r="A10" s="6"/>
      <c r="B10" s="7"/>
      <c r="C10" s="7"/>
      <c r="D10" s="1">
        <v>2013</v>
      </c>
      <c r="E10" s="11">
        <v>-0.2173</v>
      </c>
      <c r="F10" s="11">
        <v>0.2258</v>
      </c>
      <c r="G10" s="9">
        <v>0.03</v>
      </c>
      <c r="H10" s="10">
        <f t="shared" si="0"/>
        <v>-1.09521700620018</v>
      </c>
    </row>
    <row r="11" spans="1:8">
      <c r="A11" s="6"/>
      <c r="B11" s="7"/>
      <c r="C11" s="7"/>
      <c r="D11" s="1">
        <v>2014</v>
      </c>
      <c r="E11" s="11">
        <v>0.3585</v>
      </c>
      <c r="F11" s="11">
        <v>0.193</v>
      </c>
      <c r="G11" s="9">
        <v>0.03</v>
      </c>
      <c r="H11" s="10">
        <f t="shared" si="0"/>
        <v>1.7020725388601</v>
      </c>
    </row>
    <row r="12" spans="1:8">
      <c r="A12" s="6"/>
      <c r="B12" s="7"/>
      <c r="C12" s="7"/>
      <c r="D12" s="1">
        <v>2015</v>
      </c>
      <c r="E12" s="11">
        <v>0.1102</v>
      </c>
      <c r="F12" s="11">
        <v>0.4396</v>
      </c>
      <c r="G12" s="9">
        <v>0.03</v>
      </c>
      <c r="H12" s="10">
        <f t="shared" si="0"/>
        <v>0.182438580527752</v>
      </c>
    </row>
    <row r="13" spans="1:8">
      <c r="A13" s="6"/>
      <c r="B13" s="7"/>
      <c r="C13" s="7"/>
      <c r="D13" s="1">
        <v>2016</v>
      </c>
      <c r="E13" s="11">
        <v>-0.0687</v>
      </c>
      <c r="F13" s="11">
        <v>0.2871</v>
      </c>
      <c r="G13" s="9">
        <v>0.03</v>
      </c>
      <c r="H13" s="10">
        <f t="shared" si="0"/>
        <v>-0.343782654127482</v>
      </c>
    </row>
    <row r="14" spans="1:8">
      <c r="A14" s="6"/>
      <c r="B14" s="7"/>
      <c r="C14" s="7"/>
      <c r="D14" s="1">
        <v>2017</v>
      </c>
      <c r="E14" s="11">
        <v>0.2251</v>
      </c>
      <c r="F14" s="11">
        <v>0.181</v>
      </c>
      <c r="G14" s="9">
        <v>0.03</v>
      </c>
      <c r="H14" s="10">
        <f t="shared" si="0"/>
        <v>1.07790055248619</v>
      </c>
    </row>
    <row r="15" spans="1:8">
      <c r="A15" s="6"/>
      <c r="B15" s="7"/>
      <c r="C15" s="7"/>
      <c r="D15" s="1">
        <v>2018</v>
      </c>
      <c r="E15" s="11">
        <v>-0.3439</v>
      </c>
      <c r="F15" s="11">
        <v>0.2416</v>
      </c>
      <c r="G15" s="9">
        <v>0.03</v>
      </c>
      <c r="H15" s="10">
        <f t="shared" si="0"/>
        <v>-1.54759933774834</v>
      </c>
    </row>
    <row r="16" spans="1:8">
      <c r="A16" s="6"/>
      <c r="B16" s="7"/>
      <c r="C16" s="7"/>
      <c r="D16" s="1">
        <v>2019</v>
      </c>
      <c r="E16" s="11">
        <v>0.2313</v>
      </c>
      <c r="F16" s="11">
        <v>0.2201</v>
      </c>
      <c r="G16" s="9">
        <v>0.03</v>
      </c>
      <c r="H16" s="10">
        <f t="shared" si="0"/>
        <v>0.914584279872785</v>
      </c>
    </row>
    <row r="17" spans="1:8">
      <c r="A17" s="6"/>
      <c r="B17" s="7"/>
      <c r="C17" s="7"/>
      <c r="D17" s="1">
        <v>2020</v>
      </c>
      <c r="E17" s="11">
        <v>0.2955</v>
      </c>
      <c r="F17" s="11">
        <v>0.2584</v>
      </c>
      <c r="G17" s="9">
        <v>0.03</v>
      </c>
      <c r="H17" s="10">
        <f t="shared" si="0"/>
        <v>1.02747678018576</v>
      </c>
    </row>
    <row r="18" spans="1:8">
      <c r="A18" s="6"/>
      <c r="B18" s="7"/>
      <c r="C18" s="7"/>
      <c r="D18" s="1">
        <v>2021</v>
      </c>
      <c r="E18" s="11">
        <v>0.1928</v>
      </c>
      <c r="F18" s="11">
        <v>0.2765</v>
      </c>
      <c r="G18" s="9">
        <v>0.03</v>
      </c>
      <c r="H18" s="10">
        <f t="shared" si="0"/>
        <v>0.58878842676311</v>
      </c>
    </row>
    <row r="19" spans="1:8">
      <c r="A19" s="6"/>
      <c r="B19" s="7"/>
      <c r="C19" s="7"/>
      <c r="D19" s="1">
        <v>2022</v>
      </c>
      <c r="E19" s="11">
        <v>-0.2305</v>
      </c>
      <c r="F19" s="11">
        <v>0.248</v>
      </c>
      <c r="G19" s="9">
        <v>0.03</v>
      </c>
      <c r="H19" s="10">
        <f t="shared" si="0"/>
        <v>-1.05040322580645</v>
      </c>
    </row>
    <row r="20" spans="1:8">
      <c r="A20" s="6"/>
      <c r="B20" s="7"/>
      <c r="C20" s="7"/>
      <c r="D20" s="1">
        <v>2023</v>
      </c>
      <c r="E20" s="11">
        <v>-0.138</v>
      </c>
      <c r="F20" s="11">
        <v>0.1524</v>
      </c>
      <c r="G20" s="9">
        <v>0.03</v>
      </c>
      <c r="H20" s="10">
        <f t="shared" si="0"/>
        <v>-1.10236220472441</v>
      </c>
    </row>
    <row r="21" spans="1:8">
      <c r="A21" s="6"/>
      <c r="B21" s="7"/>
      <c r="C21" s="7"/>
      <c r="D21" s="1">
        <v>2024</v>
      </c>
      <c r="E21" s="11">
        <v>0.0221</v>
      </c>
      <c r="F21" s="11">
        <v>0.2491</v>
      </c>
      <c r="G21" s="9">
        <v>0.03</v>
      </c>
      <c r="H21" s="10">
        <f t="shared" si="0"/>
        <v>-0.0317141710156564</v>
      </c>
    </row>
    <row r="22" spans="1:8">
      <c r="A22" s="6"/>
      <c r="B22" s="7"/>
      <c r="C22" s="7"/>
      <c r="D22" s="1">
        <v>2025</v>
      </c>
      <c r="E22" s="11">
        <v>0.6497</v>
      </c>
      <c r="F22" s="11">
        <v>0.223</v>
      </c>
      <c r="G22" s="9">
        <v>0.03</v>
      </c>
      <c r="H22" s="10">
        <f t="shared" si="0"/>
        <v>2.77892376681614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2"/>
  <sheetViews>
    <sheetView workbookViewId="0">
      <selection activeCell="J16" sqref="J16"/>
    </sheetView>
  </sheetViews>
  <sheetFormatPr defaultColWidth="9.02654867256637" defaultRowHeight="13.5"/>
  <cols>
    <col min="1" max="1" width="9.24778761061947" style="1" customWidth="1"/>
    <col min="2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14</v>
      </c>
      <c r="B2" s="7" t="s">
        <v>15</v>
      </c>
      <c r="C2" s="7" t="s">
        <v>16</v>
      </c>
      <c r="D2" s="1">
        <v>2005</v>
      </c>
      <c r="E2" s="8">
        <v>-0.1201</v>
      </c>
      <c r="F2" s="8">
        <v>0.2206</v>
      </c>
      <c r="G2" s="9">
        <v>0.03</v>
      </c>
      <c r="H2" s="10">
        <f>(E2-G2)/F2</f>
        <v>-0.680417044424297</v>
      </c>
    </row>
    <row r="3" spans="1:8">
      <c r="A3" s="6"/>
      <c r="B3" s="7"/>
      <c r="C3" s="7"/>
      <c r="D3" s="1">
        <v>2006</v>
      </c>
      <c r="E3" s="11">
        <v>1.0362</v>
      </c>
      <c r="F3" s="11">
        <v>0.2351</v>
      </c>
      <c r="G3" s="9">
        <v>0.03</v>
      </c>
      <c r="H3" s="10">
        <f t="shared" ref="H3:H22" si="0">(E3-G3)/F3</f>
        <v>4.27988090174394</v>
      </c>
    </row>
    <row r="4" spans="1:8">
      <c r="A4" s="6"/>
      <c r="B4" s="7"/>
      <c r="C4" s="7"/>
      <c r="D4" s="1">
        <v>2007</v>
      </c>
      <c r="E4" s="11">
        <v>1.8479</v>
      </c>
      <c r="F4" s="11">
        <v>0.3907</v>
      </c>
      <c r="G4" s="9">
        <v>0.03</v>
      </c>
      <c r="H4" s="10">
        <f t="shared" si="0"/>
        <v>4.65293063731763</v>
      </c>
    </row>
    <row r="5" spans="1:8">
      <c r="A5" s="6"/>
      <c r="B5" s="7"/>
      <c r="C5" s="7"/>
      <c r="D5" s="1">
        <v>2008</v>
      </c>
      <c r="E5" s="11">
        <v>-0.6552</v>
      </c>
      <c r="F5" s="11">
        <v>0.5133</v>
      </c>
      <c r="G5" s="9">
        <v>0.03</v>
      </c>
      <c r="H5" s="10">
        <f t="shared" si="0"/>
        <v>-1.33489187609585</v>
      </c>
    </row>
    <row r="6" spans="1:8">
      <c r="A6" s="6"/>
      <c r="B6" s="7"/>
      <c r="C6" s="7"/>
      <c r="D6" s="1">
        <v>2009</v>
      </c>
      <c r="E6" s="11">
        <v>0.8612</v>
      </c>
      <c r="F6" s="11">
        <v>0.327</v>
      </c>
      <c r="G6" s="9">
        <v>0.03</v>
      </c>
      <c r="H6" s="10">
        <f t="shared" si="0"/>
        <v>2.54189602446483</v>
      </c>
    </row>
    <row r="7" spans="1:8">
      <c r="A7" s="6"/>
      <c r="B7" s="7"/>
      <c r="C7" s="7"/>
      <c r="D7" s="1">
        <v>2010</v>
      </c>
      <c r="E7" s="11">
        <v>0.0437</v>
      </c>
      <c r="F7" s="11">
        <v>0.2618</v>
      </c>
      <c r="G7" s="9">
        <v>0.03</v>
      </c>
      <c r="H7" s="10">
        <f t="shared" si="0"/>
        <v>0.0523300229182582</v>
      </c>
    </row>
    <row r="8" spans="1:8">
      <c r="A8" s="6"/>
      <c r="B8" s="7"/>
      <c r="C8" s="7"/>
      <c r="D8" s="1">
        <v>2011</v>
      </c>
      <c r="E8" s="11">
        <v>-0.3552</v>
      </c>
      <c r="F8" s="11">
        <v>0.227</v>
      </c>
      <c r="G8" s="9">
        <v>0.03</v>
      </c>
      <c r="H8" s="10">
        <f t="shared" si="0"/>
        <v>-1.69691629955947</v>
      </c>
    </row>
    <row r="9" spans="1:8">
      <c r="A9" s="6"/>
      <c r="B9" s="7"/>
      <c r="C9" s="7"/>
      <c r="D9" s="1">
        <v>2012</v>
      </c>
      <c r="E9" s="11">
        <v>-0.0327</v>
      </c>
      <c r="F9" s="11">
        <v>0.2216</v>
      </c>
      <c r="G9" s="9">
        <v>0.03</v>
      </c>
      <c r="H9" s="10">
        <f t="shared" si="0"/>
        <v>-0.282942238267148</v>
      </c>
    </row>
    <row r="10" spans="1:8">
      <c r="A10" s="6"/>
      <c r="B10" s="7"/>
      <c r="C10" s="7"/>
      <c r="D10" s="1">
        <v>2013</v>
      </c>
      <c r="E10" s="11">
        <v>0.0123</v>
      </c>
      <c r="F10" s="11">
        <v>0.224</v>
      </c>
      <c r="G10" s="9">
        <v>0.03</v>
      </c>
      <c r="H10" s="10">
        <f t="shared" si="0"/>
        <v>-0.0790178571428572</v>
      </c>
    </row>
    <row r="11" spans="1:8">
      <c r="A11" s="6"/>
      <c r="B11" s="7"/>
      <c r="C11" s="7"/>
      <c r="D11" s="1">
        <v>2014</v>
      </c>
      <c r="E11" s="11">
        <v>0.5573</v>
      </c>
      <c r="F11" s="11">
        <v>0.2049</v>
      </c>
      <c r="G11" s="9">
        <v>0.03</v>
      </c>
      <c r="H11" s="10">
        <f t="shared" si="0"/>
        <v>2.5734504636408</v>
      </c>
    </row>
    <row r="12" spans="1:8">
      <c r="A12" s="6"/>
      <c r="B12" s="7"/>
      <c r="C12" s="7"/>
      <c r="D12" s="1">
        <v>2015</v>
      </c>
      <c r="E12" s="11">
        <v>0.1799</v>
      </c>
      <c r="F12" s="11">
        <v>0.4596</v>
      </c>
      <c r="G12" s="9">
        <v>0.03</v>
      </c>
      <c r="H12" s="10">
        <f t="shared" si="0"/>
        <v>0.32615317667537</v>
      </c>
    </row>
    <row r="13" spans="1:8">
      <c r="A13" s="6"/>
      <c r="B13" s="7"/>
      <c r="C13" s="7"/>
      <c r="D13" s="1">
        <v>2016</v>
      </c>
      <c r="E13" s="11">
        <v>-0.1753</v>
      </c>
      <c r="F13" s="11">
        <v>0.2762</v>
      </c>
      <c r="G13" s="9">
        <v>0.03</v>
      </c>
      <c r="H13" s="10">
        <f t="shared" si="0"/>
        <v>-0.743301955104996</v>
      </c>
    </row>
    <row r="14" spans="1:8">
      <c r="A14" s="6"/>
      <c r="B14" s="7"/>
      <c r="C14" s="7"/>
      <c r="D14" s="1">
        <v>2017</v>
      </c>
      <c r="E14" s="11">
        <v>0.0104</v>
      </c>
      <c r="F14" s="11">
        <v>0.1242</v>
      </c>
      <c r="G14" s="9">
        <v>0.03</v>
      </c>
      <c r="H14" s="10">
        <f t="shared" si="0"/>
        <v>-0.15780998389694</v>
      </c>
    </row>
    <row r="15" spans="1:8">
      <c r="A15" s="6"/>
      <c r="B15" s="7"/>
      <c r="C15" s="7"/>
      <c r="D15" s="1">
        <v>2018</v>
      </c>
      <c r="E15" s="11">
        <v>-0.3062</v>
      </c>
      <c r="F15" s="11">
        <v>0.2052</v>
      </c>
      <c r="G15" s="9">
        <v>0.03</v>
      </c>
      <c r="H15" s="10">
        <f t="shared" si="0"/>
        <v>-1.63840155945419</v>
      </c>
    </row>
    <row r="16" spans="1:8">
      <c r="A16" s="6"/>
      <c r="B16" s="7"/>
      <c r="C16" s="7"/>
      <c r="D16" s="1">
        <v>2019</v>
      </c>
      <c r="E16" s="11">
        <v>0.1766</v>
      </c>
      <c r="F16" s="11">
        <v>0.2048</v>
      </c>
      <c r="G16" s="9">
        <v>0.03</v>
      </c>
      <c r="H16" s="10">
        <f t="shared" si="0"/>
        <v>0.7158203125</v>
      </c>
    </row>
    <row r="17" spans="1:8">
      <c r="A17" s="6"/>
      <c r="B17" s="7"/>
      <c r="C17" s="7"/>
      <c r="D17" s="1">
        <v>2020</v>
      </c>
      <c r="E17" s="11">
        <v>0.3631</v>
      </c>
      <c r="F17" s="11">
        <v>0.2414</v>
      </c>
      <c r="G17" s="9">
        <v>0.03</v>
      </c>
      <c r="H17" s="10">
        <f t="shared" si="0"/>
        <v>1.37986743993372</v>
      </c>
    </row>
    <row r="18" spans="1:8">
      <c r="A18" s="6"/>
      <c r="B18" s="7"/>
      <c r="C18" s="7"/>
      <c r="D18" s="1">
        <v>2021</v>
      </c>
      <c r="E18" s="11">
        <v>0.171</v>
      </c>
      <c r="F18" s="11">
        <v>0.2156</v>
      </c>
      <c r="G18" s="9">
        <v>0.03</v>
      </c>
      <c r="H18" s="10">
        <f t="shared" si="0"/>
        <v>0.653988868274583</v>
      </c>
    </row>
    <row r="19" spans="1:8">
      <c r="A19" s="6"/>
      <c r="B19" s="7"/>
      <c r="C19" s="7"/>
      <c r="D19" s="1">
        <v>2022</v>
      </c>
      <c r="E19" s="11">
        <v>-0.2375</v>
      </c>
      <c r="F19" s="11">
        <v>0.2529</v>
      </c>
      <c r="G19" s="9">
        <v>0.03</v>
      </c>
      <c r="H19" s="10">
        <f t="shared" si="0"/>
        <v>-1.05773032819296</v>
      </c>
    </row>
    <row r="20" spans="1:8">
      <c r="A20" s="6"/>
      <c r="B20" s="7"/>
      <c r="C20" s="7"/>
      <c r="D20" s="1">
        <v>2023</v>
      </c>
      <c r="E20" s="11">
        <v>-0.2147</v>
      </c>
      <c r="F20" s="11">
        <v>0.1542</v>
      </c>
      <c r="G20" s="9">
        <v>0.03</v>
      </c>
      <c r="H20" s="10">
        <f t="shared" si="0"/>
        <v>-1.58690012970169</v>
      </c>
    </row>
    <row r="21" spans="1:8">
      <c r="A21" s="6"/>
      <c r="B21" s="7"/>
      <c r="C21" s="7"/>
      <c r="D21" s="1">
        <v>2024</v>
      </c>
      <c r="E21" s="11">
        <v>0.1147</v>
      </c>
      <c r="F21" s="11">
        <v>0.2633</v>
      </c>
      <c r="G21" s="9">
        <v>0.03</v>
      </c>
      <c r="H21" s="10">
        <f t="shared" si="0"/>
        <v>0.321686289403722</v>
      </c>
    </row>
    <row r="22" spans="1:8">
      <c r="A22" s="6"/>
      <c r="B22" s="7"/>
      <c r="C22" s="7"/>
      <c r="D22" s="1">
        <v>2025</v>
      </c>
      <c r="E22" s="11">
        <v>0.2207</v>
      </c>
      <c r="F22" s="11">
        <v>0.1916</v>
      </c>
      <c r="G22" s="9">
        <v>0.03</v>
      </c>
      <c r="H22" s="10">
        <f t="shared" si="0"/>
        <v>0.995302713987474</v>
      </c>
    </row>
    <row r="242" spans="1:15">
      <c r="A242" s="13"/>
      <c r="B242" s="13"/>
      <c r="C242" s="13"/>
      <c r="D242" s="13"/>
      <c r="E242" s="13"/>
      <c r="F242" s="13"/>
      <c r="G242" s="13"/>
      <c r="H242" s="10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10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10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10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10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10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10"/>
      <c r="I1701" s="14"/>
      <c r="J1701" s="14"/>
      <c r="K1701" s="14"/>
      <c r="L1701" s="14"/>
      <c r="M1701" s="14"/>
      <c r="N1701" s="14"/>
      <c r="O1701" s="14"/>
    </row>
    <row r="1944" spans="1:15">
      <c r="A1944" s="13"/>
      <c r="B1944" s="13"/>
      <c r="C1944" s="13"/>
      <c r="D1944" s="13"/>
      <c r="E1944" s="13"/>
      <c r="F1944" s="13"/>
      <c r="G1944" s="13"/>
      <c r="H1944" s="10"/>
      <c r="I1944" s="14"/>
      <c r="J1944" s="14"/>
      <c r="K1944" s="14"/>
      <c r="L1944" s="14"/>
      <c r="M1944" s="14"/>
      <c r="N1944" s="14"/>
      <c r="O1944" s="14"/>
    </row>
    <row r="2182" spans="1:15">
      <c r="A2182" s="13"/>
      <c r="B2182" s="13"/>
      <c r="C2182" s="13"/>
      <c r="D2182" s="13"/>
      <c r="E2182" s="13"/>
      <c r="F2182" s="13"/>
      <c r="G2182" s="13"/>
      <c r="H2182" s="10"/>
      <c r="I2182" s="14"/>
      <c r="J2182" s="14"/>
      <c r="K2182" s="14"/>
      <c r="L2182" s="14"/>
      <c r="M2182" s="14"/>
      <c r="N2182" s="14"/>
      <c r="O2182" s="14"/>
    </row>
    <row r="2427" spans="1:15">
      <c r="A2427" s="13"/>
      <c r="B2427" s="13"/>
      <c r="C2427" s="13"/>
      <c r="D2427" s="13"/>
      <c r="E2427" s="13"/>
      <c r="F2427" s="13"/>
      <c r="G2427" s="13"/>
      <c r="H2427" s="10"/>
      <c r="I2427" s="14"/>
      <c r="J2427" s="14"/>
      <c r="K2427" s="14"/>
      <c r="L2427" s="14"/>
      <c r="M2427" s="14"/>
      <c r="N2427" s="14"/>
      <c r="O2427" s="14"/>
    </row>
    <row r="2671" spans="1:15">
      <c r="A2671" s="13"/>
      <c r="B2671" s="13"/>
      <c r="C2671" s="13"/>
      <c r="D2671" s="13"/>
      <c r="E2671" s="13"/>
      <c r="F2671" s="13"/>
      <c r="G2671" s="13"/>
      <c r="H2671" s="10"/>
      <c r="I2671" s="14"/>
      <c r="J2671" s="14"/>
      <c r="K2671" s="14"/>
      <c r="L2671" s="14"/>
      <c r="M2671" s="14"/>
      <c r="N2671" s="14"/>
      <c r="O2671" s="14"/>
    </row>
    <row r="2915" spans="1:15">
      <c r="A2915" s="13"/>
      <c r="B2915" s="13"/>
      <c r="C2915" s="13"/>
      <c r="D2915" s="13"/>
      <c r="E2915" s="13"/>
      <c r="F2915" s="13"/>
      <c r="G2915" s="13"/>
      <c r="H2915" s="10"/>
      <c r="I2915" s="14"/>
      <c r="J2915" s="14"/>
      <c r="K2915" s="14"/>
      <c r="L2915" s="14"/>
      <c r="M2915" s="14"/>
      <c r="N2915" s="14"/>
      <c r="O2915" s="14"/>
    </row>
    <row r="3159" spans="1:15">
      <c r="A3159" s="13"/>
      <c r="B3159" s="13"/>
      <c r="C3159" s="13"/>
      <c r="D3159" s="13"/>
      <c r="E3159" s="13"/>
      <c r="F3159" s="13"/>
      <c r="G3159" s="13"/>
      <c r="H3159" s="10"/>
      <c r="I3159" s="14"/>
      <c r="J3159" s="14"/>
      <c r="K3159" s="14"/>
      <c r="L3159" s="14"/>
      <c r="M3159" s="14"/>
      <c r="N3159" s="14"/>
      <c r="O3159" s="14"/>
    </row>
    <row r="3403" spans="1:15">
      <c r="A3403" s="13"/>
      <c r="B3403" s="13"/>
      <c r="C3403" s="13"/>
      <c r="D3403" s="13"/>
      <c r="E3403" s="13"/>
      <c r="F3403" s="13"/>
      <c r="G3403" s="13"/>
      <c r="H3403" s="10"/>
      <c r="I3403" s="14"/>
      <c r="J3403" s="14"/>
      <c r="K3403" s="14"/>
      <c r="L3403" s="14"/>
      <c r="M3403" s="14"/>
      <c r="N3403" s="14"/>
      <c r="O3403" s="14"/>
    </row>
    <row r="3647" spans="1:15">
      <c r="A3647" s="13"/>
      <c r="B3647" s="13"/>
      <c r="C3647" s="13"/>
      <c r="D3647" s="13"/>
      <c r="E3647" s="13"/>
      <c r="F3647" s="13"/>
      <c r="G3647" s="13"/>
      <c r="H3647" s="10"/>
      <c r="I3647" s="14"/>
      <c r="J3647" s="14"/>
      <c r="K3647" s="14"/>
      <c r="L3647" s="14"/>
      <c r="M3647" s="14"/>
      <c r="N3647" s="14"/>
      <c r="O3647" s="14"/>
    </row>
    <row r="3890" spans="1:15">
      <c r="A3890" s="13"/>
      <c r="B3890" s="13"/>
      <c r="C3890" s="13"/>
      <c r="D3890" s="13"/>
      <c r="E3890" s="13"/>
      <c r="F3890" s="13"/>
      <c r="G3890" s="13"/>
      <c r="H3890" s="10"/>
      <c r="I3890" s="14"/>
      <c r="J3890" s="14"/>
      <c r="K3890" s="14"/>
      <c r="L3890" s="14"/>
      <c r="M3890" s="14"/>
      <c r="N3890" s="14"/>
      <c r="O3890" s="14"/>
    </row>
    <row r="4133" spans="1:15">
      <c r="A4133" s="13"/>
      <c r="B4133" s="13"/>
      <c r="C4133" s="13"/>
      <c r="D4133" s="13"/>
      <c r="E4133" s="13"/>
      <c r="F4133" s="13"/>
      <c r="G4133" s="13"/>
      <c r="H4133" s="10"/>
      <c r="I4133" s="14"/>
      <c r="J4133" s="14"/>
      <c r="K4133" s="14"/>
      <c r="L4133" s="14"/>
      <c r="M4133" s="14"/>
      <c r="N4133" s="14"/>
      <c r="O4133" s="14"/>
    </row>
    <row r="4375" spans="1:15">
      <c r="A4375" s="13"/>
      <c r="B4375" s="13"/>
      <c r="C4375" s="13"/>
      <c r="D4375" s="13"/>
      <c r="E4375" s="13"/>
      <c r="F4375" s="13"/>
      <c r="G4375" s="13"/>
      <c r="H4375" s="10"/>
      <c r="I4375" s="14"/>
      <c r="J4375" s="14"/>
      <c r="K4375" s="14"/>
      <c r="L4375" s="14"/>
      <c r="M4375" s="14"/>
      <c r="N4375" s="14"/>
      <c r="O4375" s="14"/>
    </row>
    <row r="4617" spans="1:15">
      <c r="A4617" s="13"/>
      <c r="B4617" s="13"/>
      <c r="C4617" s="13"/>
      <c r="D4617" s="13"/>
      <c r="E4617" s="13"/>
      <c r="F4617" s="13"/>
      <c r="G4617" s="13"/>
      <c r="H4617" s="10"/>
      <c r="I4617" s="14"/>
      <c r="J4617" s="14"/>
      <c r="K4617" s="14"/>
      <c r="L4617" s="14"/>
      <c r="M4617" s="14"/>
      <c r="N4617" s="14"/>
      <c r="O4617" s="14"/>
    </row>
    <row r="4859" spans="1:15">
      <c r="A4859" s="13"/>
      <c r="B4859" s="13"/>
      <c r="C4859" s="13"/>
      <c r="D4859" s="13"/>
      <c r="E4859" s="13"/>
      <c r="F4859" s="13"/>
      <c r="G4859" s="13"/>
      <c r="H4859" s="10"/>
      <c r="I4859" s="14"/>
      <c r="J4859" s="14"/>
      <c r="K4859" s="14"/>
      <c r="L4859" s="14"/>
      <c r="M4859" s="14"/>
      <c r="N4859" s="14"/>
      <c r="O4859" s="14"/>
    </row>
    <row r="5102" s="18" customFormat="1" spans="1:15">
      <c r="A5102" s="15"/>
      <c r="B5102" s="15"/>
      <c r="C5102" s="15"/>
      <c r="D5102" s="15"/>
      <c r="E5102" s="15"/>
      <c r="F5102" s="15"/>
      <c r="G5102" s="15"/>
      <c r="H5102" s="16"/>
      <c r="I5102" s="17"/>
      <c r="J5102" s="17"/>
      <c r="K5102" s="17"/>
      <c r="L5102" s="17"/>
      <c r="M5102" s="17"/>
      <c r="N5102" s="17"/>
      <c r="O5102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2"/>
  <sheetViews>
    <sheetView topLeftCell="C1" workbookViewId="0">
      <selection activeCell="J8" sqref="J8"/>
    </sheetView>
  </sheetViews>
  <sheetFormatPr defaultColWidth="9.02654867256637" defaultRowHeight="13.5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17</v>
      </c>
      <c r="B2" s="7" t="s">
        <v>18</v>
      </c>
      <c r="C2" s="7" t="s">
        <v>19</v>
      </c>
      <c r="D2" s="1">
        <v>2005</v>
      </c>
      <c r="E2" s="8">
        <v>-0.1192</v>
      </c>
      <c r="F2" s="8">
        <v>0.2362</v>
      </c>
      <c r="G2" s="9">
        <v>0.03</v>
      </c>
      <c r="H2" s="10">
        <f>(E2-G2)/F2</f>
        <v>-0.631668077900085</v>
      </c>
    </row>
    <row r="3" spans="1:8">
      <c r="A3" s="6"/>
      <c r="B3" s="7"/>
      <c r="C3" s="7"/>
      <c r="D3" s="1">
        <v>2006</v>
      </c>
      <c r="E3" s="11">
        <v>1.064</v>
      </c>
      <c r="F3" s="11">
        <v>0.2437</v>
      </c>
      <c r="G3" s="9">
        <v>0.03</v>
      </c>
      <c r="H3" s="10">
        <f t="shared" ref="H3:H22" si="0">(E3-G3)/F3</f>
        <v>4.24292162494871</v>
      </c>
    </row>
    <row r="4" spans="1:8">
      <c r="A4" s="6"/>
      <c r="B4" s="7"/>
      <c r="C4" s="7"/>
      <c r="D4" s="1">
        <v>2007</v>
      </c>
      <c r="E4" s="11">
        <v>1.6264</v>
      </c>
      <c r="F4" s="11">
        <v>0.4038</v>
      </c>
      <c r="G4" s="9">
        <v>0.03</v>
      </c>
      <c r="H4" s="10">
        <f t="shared" si="0"/>
        <v>3.95344229816741</v>
      </c>
    </row>
    <row r="5" spans="1:8">
      <c r="A5" s="6"/>
      <c r="B5" s="7"/>
      <c r="C5" s="7"/>
      <c r="D5" s="1">
        <v>2008</v>
      </c>
      <c r="E5" s="11">
        <v>-0.6288</v>
      </c>
      <c r="F5" s="11">
        <v>0.5135</v>
      </c>
      <c r="G5" s="9">
        <v>0.03</v>
      </c>
      <c r="H5" s="10">
        <f t="shared" si="0"/>
        <v>-1.28296007789679</v>
      </c>
    </row>
    <row r="6" spans="1:8">
      <c r="A6" s="6"/>
      <c r="B6" s="7"/>
      <c r="C6" s="7"/>
      <c r="D6" s="1">
        <v>2009</v>
      </c>
      <c r="E6" s="11">
        <v>1.362</v>
      </c>
      <c r="F6" s="11">
        <v>0.3391</v>
      </c>
      <c r="G6" s="9">
        <v>0.03</v>
      </c>
      <c r="H6" s="10">
        <f t="shared" si="0"/>
        <v>3.92804482453554</v>
      </c>
    </row>
    <row r="7" spans="1:8">
      <c r="A7" s="6"/>
      <c r="B7" s="7"/>
      <c r="C7" s="7"/>
      <c r="D7" s="1">
        <v>2010</v>
      </c>
      <c r="E7" s="11">
        <v>-0.0397</v>
      </c>
      <c r="F7" s="11">
        <v>0.2745</v>
      </c>
      <c r="G7" s="9">
        <v>0.03</v>
      </c>
      <c r="H7" s="10">
        <f t="shared" si="0"/>
        <v>-0.25391621129326</v>
      </c>
    </row>
    <row r="8" spans="1:8">
      <c r="A8" s="6"/>
      <c r="B8" s="7"/>
      <c r="C8" s="7"/>
      <c r="D8" s="1">
        <v>2011</v>
      </c>
      <c r="E8" s="11">
        <v>-0.2824</v>
      </c>
      <c r="F8" s="11">
        <v>0.2203</v>
      </c>
      <c r="G8" s="9">
        <v>0.03</v>
      </c>
      <c r="H8" s="10">
        <f t="shared" si="0"/>
        <v>-1.41806627326373</v>
      </c>
    </row>
    <row r="9" spans="1:8">
      <c r="A9" s="6"/>
      <c r="B9" s="7"/>
      <c r="C9" s="7"/>
      <c r="D9" s="1">
        <v>2012</v>
      </c>
      <c r="E9" s="11">
        <v>0.014</v>
      </c>
      <c r="F9" s="11">
        <v>0.2124</v>
      </c>
      <c r="G9" s="9">
        <v>0.03</v>
      </c>
      <c r="H9" s="10">
        <f t="shared" si="0"/>
        <v>-0.0753295668549906</v>
      </c>
    </row>
    <row r="10" spans="1:8">
      <c r="A10" s="6"/>
      <c r="B10" s="7"/>
      <c r="C10" s="7"/>
      <c r="D10" s="1">
        <v>2013</v>
      </c>
      <c r="E10" s="11">
        <v>0.1975</v>
      </c>
      <c r="F10" s="11">
        <v>0.2322</v>
      </c>
      <c r="G10" s="9">
        <v>0.03</v>
      </c>
      <c r="H10" s="10">
        <f t="shared" si="0"/>
        <v>0.7213608957795</v>
      </c>
    </row>
    <row r="11" spans="1:8">
      <c r="A11" s="6"/>
      <c r="B11" s="7"/>
      <c r="C11" s="7"/>
      <c r="D11" s="1">
        <v>2014</v>
      </c>
      <c r="E11" s="11">
        <v>0.2517</v>
      </c>
      <c r="F11" s="11">
        <v>0.1911</v>
      </c>
      <c r="G11" s="9">
        <v>0.03</v>
      </c>
      <c r="H11" s="10">
        <f t="shared" si="0"/>
        <v>1.16012558869702</v>
      </c>
    </row>
    <row r="12" spans="1:8">
      <c r="A12" s="6"/>
      <c r="B12" s="7"/>
      <c r="C12" s="7"/>
      <c r="D12" s="1">
        <v>2015</v>
      </c>
      <c r="E12" s="11">
        <v>0.3767</v>
      </c>
      <c r="F12" s="11">
        <v>0.4101</v>
      </c>
      <c r="G12" s="9">
        <v>0.03</v>
      </c>
      <c r="H12" s="10">
        <f t="shared" si="0"/>
        <v>0.845403560107291</v>
      </c>
    </row>
    <row r="13" spans="1:8">
      <c r="A13" s="6"/>
      <c r="B13" s="7"/>
      <c r="C13" s="7"/>
      <c r="D13" s="1">
        <v>2016</v>
      </c>
      <c r="E13" s="11">
        <v>-0.1766</v>
      </c>
      <c r="F13" s="11">
        <v>0.2531</v>
      </c>
      <c r="G13" s="9">
        <v>0.03</v>
      </c>
      <c r="H13" s="10">
        <f t="shared" si="0"/>
        <v>-0.816278150928487</v>
      </c>
    </row>
    <row r="14" spans="1:8">
      <c r="A14" s="6"/>
      <c r="B14" s="7"/>
      <c r="C14" s="7"/>
      <c r="D14" s="1">
        <v>2017</v>
      </c>
      <c r="E14" s="11">
        <v>0.1433</v>
      </c>
      <c r="F14" s="11">
        <v>0.1254</v>
      </c>
      <c r="G14" s="9">
        <v>0.03</v>
      </c>
      <c r="H14" s="10">
        <f t="shared" si="0"/>
        <v>0.903508771929825</v>
      </c>
    </row>
    <row r="15" spans="1:8">
      <c r="A15" s="6"/>
      <c r="B15" s="7"/>
      <c r="C15" s="7"/>
      <c r="D15" s="1">
        <v>2018</v>
      </c>
      <c r="E15" s="11">
        <v>-0.3245</v>
      </c>
      <c r="F15" s="11">
        <v>0.23</v>
      </c>
      <c r="G15" s="9">
        <v>0.03</v>
      </c>
      <c r="H15" s="10">
        <f t="shared" si="0"/>
        <v>-1.54130434782609</v>
      </c>
    </row>
    <row r="16" spans="1:8">
      <c r="A16" s="6"/>
      <c r="B16" s="7"/>
      <c r="C16" s="7"/>
      <c r="D16" s="1">
        <v>2019</v>
      </c>
      <c r="E16" s="11">
        <v>0.2999</v>
      </c>
      <c r="F16" s="11">
        <v>0.2138</v>
      </c>
      <c r="G16" s="9">
        <v>0.03</v>
      </c>
      <c r="H16" s="10">
        <f t="shared" si="0"/>
        <v>1.26239476145931</v>
      </c>
    </row>
    <row r="17" spans="1:8">
      <c r="A17" s="6"/>
      <c r="B17" s="7"/>
      <c r="C17" s="7"/>
      <c r="D17" s="1">
        <v>2020</v>
      </c>
      <c r="E17" s="11">
        <v>0.4728</v>
      </c>
      <c r="F17" s="11">
        <v>0.2661</v>
      </c>
      <c r="G17" s="9">
        <v>0.03</v>
      </c>
      <c r="H17" s="10">
        <f t="shared" si="0"/>
        <v>1.66403607666291</v>
      </c>
    </row>
    <row r="18" spans="1:8">
      <c r="A18" s="6"/>
      <c r="B18" s="7"/>
      <c r="C18" s="7"/>
      <c r="D18" s="1">
        <v>2021</v>
      </c>
      <c r="E18" s="11">
        <v>-0.0837</v>
      </c>
      <c r="F18" s="11">
        <v>0.22</v>
      </c>
      <c r="G18" s="9">
        <v>0.03</v>
      </c>
      <c r="H18" s="10">
        <f t="shared" si="0"/>
        <v>-0.516818181818182</v>
      </c>
    </row>
    <row r="19" spans="1:8">
      <c r="A19" s="6"/>
      <c r="B19" s="7"/>
      <c r="C19" s="7"/>
      <c r="D19" s="1">
        <v>2022</v>
      </c>
      <c r="E19" s="11">
        <v>-0.1972</v>
      </c>
      <c r="F19" s="11">
        <v>0.2467</v>
      </c>
      <c r="G19" s="9">
        <v>0.03</v>
      </c>
      <c r="H19" s="10">
        <f t="shared" si="0"/>
        <v>-0.920956627482772</v>
      </c>
    </row>
    <row r="20" spans="1:8">
      <c r="A20" s="6"/>
      <c r="B20" s="7"/>
      <c r="C20" s="7"/>
      <c r="D20" s="1">
        <v>2023</v>
      </c>
      <c r="E20" s="11">
        <v>-0.1021</v>
      </c>
      <c r="F20" s="11">
        <v>0.1652</v>
      </c>
      <c r="G20" s="9">
        <v>0.03</v>
      </c>
      <c r="H20" s="10">
        <f t="shared" si="0"/>
        <v>-0.799636803874092</v>
      </c>
    </row>
    <row r="21" spans="1:8">
      <c r="A21" s="6"/>
      <c r="B21" s="7"/>
      <c r="C21" s="7"/>
      <c r="D21" s="1">
        <v>2024</v>
      </c>
      <c r="E21" s="11">
        <v>0.1923</v>
      </c>
      <c r="F21" s="11">
        <v>0.2241</v>
      </c>
      <c r="G21" s="9">
        <v>0.03</v>
      </c>
      <c r="H21" s="10">
        <f t="shared" si="0"/>
        <v>0.724230254350736</v>
      </c>
    </row>
    <row r="22" spans="1:8">
      <c r="A22" s="6"/>
      <c r="B22" s="7"/>
      <c r="C22" s="7"/>
      <c r="D22" s="1">
        <v>2025</v>
      </c>
      <c r="E22" s="11">
        <v>0.0737</v>
      </c>
      <c r="F22" s="11">
        <v>0.1724</v>
      </c>
      <c r="G22" s="9">
        <v>0.03</v>
      </c>
      <c r="H22" s="10">
        <f t="shared" si="0"/>
        <v>0.253480278422274</v>
      </c>
    </row>
    <row r="242" spans="1:15">
      <c r="A242" s="13"/>
      <c r="B242" s="13"/>
      <c r="C242" s="13"/>
      <c r="D242" s="13"/>
      <c r="E242" s="13"/>
      <c r="F242" s="13"/>
      <c r="G242" s="13"/>
      <c r="H242" s="10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10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10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10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10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10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10"/>
      <c r="I1701" s="14"/>
      <c r="J1701" s="14"/>
      <c r="K1701" s="14"/>
      <c r="L1701" s="14"/>
      <c r="M1701" s="14"/>
      <c r="N1701" s="14"/>
      <c r="O1701" s="14"/>
    </row>
    <row r="1944" spans="1:15">
      <c r="A1944" s="13"/>
      <c r="B1944" s="13"/>
      <c r="C1944" s="13"/>
      <c r="D1944" s="13"/>
      <c r="E1944" s="13"/>
      <c r="F1944" s="13"/>
      <c r="G1944" s="13"/>
      <c r="H1944" s="10"/>
      <c r="I1944" s="14"/>
      <c r="J1944" s="14"/>
      <c r="K1944" s="14"/>
      <c r="L1944" s="14"/>
      <c r="M1944" s="14"/>
      <c r="N1944" s="14"/>
      <c r="O1944" s="14"/>
    </row>
    <row r="2182" spans="1:15">
      <c r="A2182" s="13"/>
      <c r="B2182" s="13"/>
      <c r="C2182" s="13"/>
      <c r="D2182" s="13"/>
      <c r="E2182" s="13"/>
      <c r="F2182" s="13"/>
      <c r="G2182" s="13"/>
      <c r="H2182" s="10"/>
      <c r="I2182" s="14"/>
      <c r="J2182" s="14"/>
      <c r="K2182" s="14"/>
      <c r="L2182" s="14"/>
      <c r="M2182" s="14"/>
      <c r="N2182" s="14"/>
      <c r="O2182" s="14"/>
    </row>
    <row r="2427" spans="1:15">
      <c r="A2427" s="13"/>
      <c r="B2427" s="13"/>
      <c r="C2427" s="13"/>
      <c r="D2427" s="13"/>
      <c r="E2427" s="13"/>
      <c r="F2427" s="13"/>
      <c r="G2427" s="13"/>
      <c r="H2427" s="10"/>
      <c r="I2427" s="14"/>
      <c r="J2427" s="14"/>
      <c r="K2427" s="14"/>
      <c r="L2427" s="14"/>
      <c r="M2427" s="14"/>
      <c r="N2427" s="14"/>
      <c r="O2427" s="14"/>
    </row>
    <row r="2671" spans="1:15">
      <c r="A2671" s="13"/>
      <c r="B2671" s="13"/>
      <c r="C2671" s="13"/>
      <c r="D2671" s="13"/>
      <c r="E2671" s="13"/>
      <c r="F2671" s="13"/>
      <c r="G2671" s="13"/>
      <c r="H2671" s="10"/>
      <c r="I2671" s="14"/>
      <c r="J2671" s="14"/>
      <c r="K2671" s="14"/>
      <c r="L2671" s="14"/>
      <c r="M2671" s="14"/>
      <c r="N2671" s="14"/>
      <c r="O2671" s="14"/>
    </row>
    <row r="2915" spans="1:15">
      <c r="A2915" s="13"/>
      <c r="B2915" s="13"/>
      <c r="C2915" s="13"/>
      <c r="D2915" s="13"/>
      <c r="E2915" s="13"/>
      <c r="F2915" s="13"/>
      <c r="G2915" s="13"/>
      <c r="H2915" s="10"/>
      <c r="I2915" s="14"/>
      <c r="J2915" s="14"/>
      <c r="K2915" s="14"/>
      <c r="L2915" s="14"/>
      <c r="M2915" s="14"/>
      <c r="N2915" s="14"/>
      <c r="O2915" s="14"/>
    </row>
    <row r="3159" spans="1:15">
      <c r="A3159" s="13"/>
      <c r="B3159" s="13"/>
      <c r="C3159" s="13"/>
      <c r="D3159" s="13"/>
      <c r="E3159" s="13"/>
      <c r="F3159" s="13"/>
      <c r="G3159" s="13"/>
      <c r="H3159" s="10"/>
      <c r="I3159" s="14"/>
      <c r="J3159" s="14"/>
      <c r="K3159" s="14"/>
      <c r="L3159" s="14"/>
      <c r="M3159" s="14"/>
      <c r="N3159" s="14"/>
      <c r="O3159" s="14"/>
    </row>
    <row r="3403" spans="1:15">
      <c r="A3403" s="13"/>
      <c r="B3403" s="13"/>
      <c r="C3403" s="13"/>
      <c r="D3403" s="13"/>
      <c r="E3403" s="13"/>
      <c r="F3403" s="13"/>
      <c r="G3403" s="13"/>
      <c r="H3403" s="10"/>
      <c r="I3403" s="14"/>
      <c r="J3403" s="14"/>
      <c r="K3403" s="14"/>
      <c r="L3403" s="14"/>
      <c r="M3403" s="14"/>
      <c r="N3403" s="14"/>
      <c r="O3403" s="14"/>
    </row>
    <row r="3647" spans="1:15">
      <c r="A3647" s="13"/>
      <c r="B3647" s="13"/>
      <c r="C3647" s="13"/>
      <c r="D3647" s="13"/>
      <c r="E3647" s="13"/>
      <c r="F3647" s="13"/>
      <c r="G3647" s="13"/>
      <c r="H3647" s="10"/>
      <c r="I3647" s="14"/>
      <c r="J3647" s="14"/>
      <c r="K3647" s="14"/>
      <c r="L3647" s="14"/>
      <c r="M3647" s="14"/>
      <c r="N3647" s="14"/>
      <c r="O3647" s="14"/>
    </row>
    <row r="3890" spans="1:15">
      <c r="A3890" s="13"/>
      <c r="B3890" s="13"/>
      <c r="C3890" s="13"/>
      <c r="D3890" s="13"/>
      <c r="E3890" s="13"/>
      <c r="F3890" s="13"/>
      <c r="G3890" s="13"/>
      <c r="H3890" s="10"/>
      <c r="I3890" s="14"/>
      <c r="J3890" s="14"/>
      <c r="K3890" s="14"/>
      <c r="L3890" s="14"/>
      <c r="M3890" s="14"/>
      <c r="N3890" s="14"/>
      <c r="O3890" s="14"/>
    </row>
    <row r="4133" spans="1:15">
      <c r="A4133" s="13"/>
      <c r="B4133" s="13"/>
      <c r="C4133" s="13"/>
      <c r="D4133" s="13"/>
      <c r="E4133" s="13"/>
      <c r="F4133" s="13"/>
      <c r="G4133" s="13"/>
      <c r="H4133" s="10"/>
      <c r="I4133" s="14"/>
      <c r="J4133" s="14"/>
      <c r="K4133" s="14"/>
      <c r="L4133" s="14"/>
      <c r="M4133" s="14"/>
      <c r="N4133" s="14"/>
      <c r="O4133" s="14"/>
    </row>
    <row r="4375" spans="1:15">
      <c r="A4375" s="13"/>
      <c r="B4375" s="13"/>
      <c r="C4375" s="13"/>
      <c r="D4375" s="13"/>
      <c r="E4375" s="13"/>
      <c r="F4375" s="13"/>
      <c r="G4375" s="13"/>
      <c r="H4375" s="10"/>
      <c r="I4375" s="14"/>
      <c r="J4375" s="14"/>
      <c r="K4375" s="14"/>
      <c r="L4375" s="14"/>
      <c r="M4375" s="14"/>
      <c r="N4375" s="14"/>
      <c r="O4375" s="14"/>
    </row>
    <row r="4617" spans="1:15">
      <c r="A4617" s="13"/>
      <c r="B4617" s="13"/>
      <c r="C4617" s="13"/>
      <c r="D4617" s="13"/>
      <c r="E4617" s="13"/>
      <c r="F4617" s="13"/>
      <c r="G4617" s="13"/>
      <c r="H4617" s="10"/>
      <c r="I4617" s="14"/>
      <c r="J4617" s="14"/>
      <c r="K4617" s="14"/>
      <c r="L4617" s="14"/>
      <c r="M4617" s="14"/>
      <c r="N4617" s="14"/>
      <c r="O4617" s="14"/>
    </row>
    <row r="4859" spans="1:15">
      <c r="A4859" s="13"/>
      <c r="B4859" s="13"/>
      <c r="C4859" s="13"/>
      <c r="D4859" s="13"/>
      <c r="E4859" s="13"/>
      <c r="F4859" s="13"/>
      <c r="G4859" s="13"/>
      <c r="H4859" s="10"/>
      <c r="I4859" s="14"/>
      <c r="J4859" s="14"/>
      <c r="K4859" s="14"/>
      <c r="L4859" s="14"/>
      <c r="M4859" s="14"/>
      <c r="N4859" s="14"/>
      <c r="O4859" s="14"/>
    </row>
    <row r="5102" s="18" customFormat="1" spans="1:15">
      <c r="A5102" s="15"/>
      <c r="B5102" s="15"/>
      <c r="C5102" s="15"/>
      <c r="D5102" s="15"/>
      <c r="E5102" s="15"/>
      <c r="F5102" s="15"/>
      <c r="G5102" s="15"/>
      <c r="H5102" s="16"/>
      <c r="I5102" s="17"/>
      <c r="J5102" s="17"/>
      <c r="K5102" s="17"/>
      <c r="L5102" s="17"/>
      <c r="M5102" s="17"/>
      <c r="N5102" s="17"/>
      <c r="O5102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2"/>
  <sheetViews>
    <sheetView topLeftCell="C1" workbookViewId="0">
      <selection activeCell="L16" sqref="L16"/>
    </sheetView>
  </sheetViews>
  <sheetFormatPr defaultColWidth="9.02654867256637" defaultRowHeight="13.5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1" width="9.53097345132743" style="3"/>
    <col min="12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20</v>
      </c>
      <c r="B2" s="7" t="s">
        <v>21</v>
      </c>
      <c r="C2" s="7" t="s">
        <v>22</v>
      </c>
      <c r="D2" s="1">
        <v>2005</v>
      </c>
      <c r="E2" s="8">
        <v>-0.0096</v>
      </c>
      <c r="F2" s="8">
        <v>0.2105</v>
      </c>
      <c r="G2" s="9">
        <v>0.03</v>
      </c>
      <c r="H2" s="10">
        <f>(E2-G2)/F2</f>
        <v>-0.18812351543943</v>
      </c>
    </row>
    <row r="3" spans="1:8">
      <c r="A3" s="6"/>
      <c r="B3" s="7"/>
      <c r="C3" s="7"/>
      <c r="D3" s="1">
        <v>2006</v>
      </c>
      <c r="E3" s="11">
        <v>1.7487</v>
      </c>
      <c r="F3" s="11">
        <v>0.2443</v>
      </c>
      <c r="G3" s="9">
        <v>0.03</v>
      </c>
      <c r="H3" s="10">
        <f t="shared" ref="H3:H22" si="0">(E3-G3)/F3</f>
        <v>7.03520261972984</v>
      </c>
    </row>
    <row r="4" spans="1:8">
      <c r="A4" s="6"/>
      <c r="B4" s="7"/>
      <c r="C4" s="7"/>
      <c r="D4" s="1">
        <v>2007</v>
      </c>
      <c r="E4" s="11">
        <v>1.5284</v>
      </c>
      <c r="F4" s="11">
        <v>0.3607</v>
      </c>
      <c r="G4" s="9">
        <v>0.03</v>
      </c>
      <c r="H4" s="10">
        <f t="shared" si="0"/>
        <v>4.15414471860272</v>
      </c>
    </row>
    <row r="5" spans="1:8">
      <c r="A5" s="6"/>
      <c r="B5" s="7"/>
      <c r="C5" s="7"/>
      <c r="D5" s="1">
        <v>2008</v>
      </c>
      <c r="E5" s="11">
        <v>-0.5617</v>
      </c>
      <c r="F5" s="11">
        <v>0.4741</v>
      </c>
      <c r="G5" s="9">
        <v>0.03</v>
      </c>
      <c r="H5" s="10">
        <f t="shared" si="0"/>
        <v>-1.24804893482388</v>
      </c>
    </row>
    <row r="6" spans="1:8">
      <c r="A6" s="6"/>
      <c r="B6" s="7"/>
      <c r="C6" s="7"/>
      <c r="D6" s="1">
        <v>2009</v>
      </c>
      <c r="E6" s="11">
        <v>0.9588</v>
      </c>
      <c r="F6" s="11">
        <v>0.3191</v>
      </c>
      <c r="G6" s="9">
        <v>0.03</v>
      </c>
      <c r="H6" s="10">
        <f t="shared" si="0"/>
        <v>2.91068630523347</v>
      </c>
    </row>
    <row r="7" spans="1:8">
      <c r="A7" s="6"/>
      <c r="B7" s="7"/>
      <c r="C7" s="7"/>
      <c r="D7" s="1">
        <v>2010</v>
      </c>
      <c r="E7" s="11">
        <v>0.1766</v>
      </c>
      <c r="F7" s="11">
        <v>0.2582</v>
      </c>
      <c r="G7" s="9">
        <v>0.03</v>
      </c>
      <c r="H7" s="10">
        <f t="shared" si="0"/>
        <v>0.567776917118513</v>
      </c>
    </row>
    <row r="8" spans="1:8">
      <c r="A8" s="6"/>
      <c r="B8" s="7"/>
      <c r="C8" s="7"/>
      <c r="D8" s="1">
        <v>2011</v>
      </c>
      <c r="E8" s="11">
        <v>-0.1908</v>
      </c>
      <c r="F8" s="11">
        <v>0.193</v>
      </c>
      <c r="G8" s="9">
        <v>0.03</v>
      </c>
      <c r="H8" s="10">
        <f t="shared" si="0"/>
        <v>-1.1440414507772</v>
      </c>
    </row>
    <row r="9" spans="1:8">
      <c r="A9" s="6"/>
      <c r="B9" s="7"/>
      <c r="C9" s="7"/>
      <c r="D9" s="1">
        <v>2012</v>
      </c>
      <c r="E9" s="11">
        <v>-0.0175</v>
      </c>
      <c r="F9" s="11">
        <v>0.2244</v>
      </c>
      <c r="G9" s="9">
        <v>0.03</v>
      </c>
      <c r="H9" s="10">
        <f t="shared" si="0"/>
        <v>-0.211675579322638</v>
      </c>
    </row>
    <row r="10" spans="1:8">
      <c r="A10" s="6"/>
      <c r="B10" s="7"/>
      <c r="C10" s="7"/>
      <c r="D10" s="1">
        <v>2013</v>
      </c>
      <c r="E10" s="11">
        <v>0.0097</v>
      </c>
      <c r="F10" s="11">
        <v>0.1947</v>
      </c>
      <c r="G10" s="9">
        <v>0.03</v>
      </c>
      <c r="H10" s="10">
        <f t="shared" si="0"/>
        <v>-0.104262968669748</v>
      </c>
    </row>
    <row r="11" spans="1:8">
      <c r="A11" s="6"/>
      <c r="B11" s="7"/>
      <c r="C11" s="7"/>
      <c r="D11" s="1">
        <v>2014</v>
      </c>
      <c r="E11" s="11">
        <v>0.1483</v>
      </c>
      <c r="F11" s="11">
        <v>0.1759</v>
      </c>
      <c r="G11" s="9">
        <v>0.03</v>
      </c>
      <c r="H11" s="10">
        <f t="shared" si="0"/>
        <v>0.672541216600341</v>
      </c>
    </row>
    <row r="12" spans="1:8">
      <c r="A12" s="6"/>
      <c r="B12" s="7"/>
      <c r="C12" s="7"/>
      <c r="D12" s="1">
        <v>2015</v>
      </c>
      <c r="E12" s="11">
        <v>0.2649</v>
      </c>
      <c r="F12" s="11">
        <v>0.393</v>
      </c>
      <c r="G12" s="9">
        <v>0.03</v>
      </c>
      <c r="H12" s="10">
        <f t="shared" si="0"/>
        <v>0.597709923664122</v>
      </c>
    </row>
    <row r="13" spans="1:8">
      <c r="A13" s="6"/>
      <c r="B13" s="7"/>
      <c r="C13" s="7"/>
      <c r="D13" s="1">
        <v>2016</v>
      </c>
      <c r="E13" s="11">
        <v>0.0064</v>
      </c>
      <c r="F13" s="11">
        <v>0.2256</v>
      </c>
      <c r="G13" s="9">
        <v>0.03</v>
      </c>
      <c r="H13" s="10">
        <f t="shared" si="0"/>
        <v>-0.104609929078014</v>
      </c>
    </row>
    <row r="14" spans="1:8">
      <c r="A14" s="6"/>
      <c r="B14" s="7"/>
      <c r="C14" s="7"/>
      <c r="D14" s="1">
        <v>2017</v>
      </c>
      <c r="E14" s="11">
        <v>0.5598</v>
      </c>
      <c r="F14" s="11">
        <v>0.1759</v>
      </c>
      <c r="G14" s="9">
        <v>0.03</v>
      </c>
      <c r="H14" s="10">
        <f t="shared" si="0"/>
        <v>3.01193860147811</v>
      </c>
    </row>
    <row r="15" spans="1:8">
      <c r="A15" s="6"/>
      <c r="B15" s="7"/>
      <c r="C15" s="7"/>
      <c r="D15" s="1">
        <v>2018</v>
      </c>
      <c r="E15" s="11">
        <v>-0.2309</v>
      </c>
      <c r="F15" s="11">
        <v>0.2925</v>
      </c>
      <c r="G15" s="9">
        <v>0.03</v>
      </c>
      <c r="H15" s="10">
        <f t="shared" si="0"/>
        <v>-0.891965811965812</v>
      </c>
    </row>
    <row r="16" spans="1:8">
      <c r="A16" s="6"/>
      <c r="B16" s="7"/>
      <c r="C16" s="7"/>
      <c r="D16" s="1">
        <v>2019</v>
      </c>
      <c r="E16" s="11">
        <v>0.6472</v>
      </c>
      <c r="F16" s="11">
        <v>0.2384</v>
      </c>
      <c r="G16" s="9">
        <v>0.03</v>
      </c>
      <c r="H16" s="10">
        <f t="shared" si="0"/>
        <v>2.58892617449664</v>
      </c>
    </row>
    <row r="17" spans="1:8">
      <c r="A17" s="6"/>
      <c r="B17" s="7"/>
      <c r="C17" s="7"/>
      <c r="D17" s="1">
        <v>2020</v>
      </c>
      <c r="E17" s="11">
        <v>0.7016</v>
      </c>
      <c r="F17" s="11">
        <v>0.2708</v>
      </c>
      <c r="G17" s="9">
        <v>0.03</v>
      </c>
      <c r="H17" s="10">
        <f t="shared" si="0"/>
        <v>2.48005908419498</v>
      </c>
    </row>
    <row r="18" spans="1:8">
      <c r="A18" s="6"/>
      <c r="B18" s="7"/>
      <c r="C18" s="7"/>
      <c r="D18" s="1">
        <v>2021</v>
      </c>
      <c r="E18" s="11">
        <v>-0.0809</v>
      </c>
      <c r="F18" s="11">
        <v>0.2838</v>
      </c>
      <c r="G18" s="9">
        <v>0.03</v>
      </c>
      <c r="H18" s="10">
        <f t="shared" si="0"/>
        <v>-0.3907681465821</v>
      </c>
    </row>
    <row r="19" spans="1:8">
      <c r="A19" s="6"/>
      <c r="B19" s="7"/>
      <c r="C19" s="7"/>
      <c r="D19" s="1">
        <v>2022</v>
      </c>
      <c r="E19" s="11">
        <v>-0.1445</v>
      </c>
      <c r="F19" s="11">
        <v>0.243</v>
      </c>
      <c r="G19" s="9">
        <v>0.03</v>
      </c>
      <c r="H19" s="10">
        <f t="shared" si="0"/>
        <v>-0.718106995884774</v>
      </c>
    </row>
    <row r="20" spans="1:8">
      <c r="A20" s="6"/>
      <c r="B20" s="7"/>
      <c r="C20" s="7"/>
      <c r="D20" s="1">
        <v>2023</v>
      </c>
      <c r="E20" s="11">
        <v>-0.1922</v>
      </c>
      <c r="F20" s="11">
        <v>0.169</v>
      </c>
      <c r="G20" s="9">
        <v>0.03</v>
      </c>
      <c r="H20" s="10">
        <f t="shared" si="0"/>
        <v>-1.31479289940828</v>
      </c>
    </row>
    <row r="21" spans="1:8">
      <c r="A21" s="6"/>
      <c r="B21" s="7"/>
      <c r="C21" s="7"/>
      <c r="D21" s="1">
        <v>2024</v>
      </c>
      <c r="E21" s="11">
        <v>-0.0672</v>
      </c>
      <c r="F21" s="11">
        <v>0.2652</v>
      </c>
      <c r="G21" s="9">
        <v>0.03</v>
      </c>
      <c r="H21" s="10">
        <f t="shared" si="0"/>
        <v>-0.366515837104072</v>
      </c>
    </row>
    <row r="22" spans="1:8">
      <c r="A22" s="6"/>
      <c r="B22" s="7"/>
      <c r="C22" s="7"/>
      <c r="D22" s="1">
        <v>2025</v>
      </c>
      <c r="E22" s="11">
        <v>-0.062</v>
      </c>
      <c r="F22" s="11">
        <v>0.1429</v>
      </c>
      <c r="G22" s="9">
        <v>0.03</v>
      </c>
      <c r="H22" s="10">
        <f t="shared" si="0"/>
        <v>-0.643806857942617</v>
      </c>
    </row>
    <row r="242" spans="1:15">
      <c r="A242" s="13"/>
      <c r="B242" s="13"/>
      <c r="C242" s="13"/>
      <c r="D242" s="13"/>
      <c r="E242" s="13"/>
      <c r="F242" s="13"/>
      <c r="G242" s="13"/>
      <c r="H242" s="10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10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10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10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10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10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10"/>
      <c r="I1701" s="14"/>
      <c r="J1701" s="14"/>
      <c r="K1701" s="14"/>
      <c r="L1701" s="14"/>
      <c r="M1701" s="14"/>
      <c r="N1701" s="14"/>
      <c r="O1701" s="14"/>
    </row>
    <row r="1944" spans="1:15">
      <c r="A1944" s="13"/>
      <c r="B1944" s="13"/>
      <c r="C1944" s="13"/>
      <c r="D1944" s="13"/>
      <c r="E1944" s="13"/>
      <c r="F1944" s="13"/>
      <c r="G1944" s="13"/>
      <c r="H1944" s="10"/>
      <c r="I1944" s="14"/>
      <c r="J1944" s="14"/>
      <c r="K1944" s="14"/>
      <c r="L1944" s="14"/>
      <c r="M1944" s="14"/>
      <c r="N1944" s="14"/>
      <c r="O1944" s="14"/>
    </row>
    <row r="2182" spans="1:15">
      <c r="A2182" s="13"/>
      <c r="B2182" s="13"/>
      <c r="C2182" s="13"/>
      <c r="D2182" s="13"/>
      <c r="E2182" s="13"/>
      <c r="F2182" s="13"/>
      <c r="G2182" s="13"/>
      <c r="H2182" s="10"/>
      <c r="I2182" s="14"/>
      <c r="J2182" s="14"/>
      <c r="K2182" s="14"/>
      <c r="L2182" s="14"/>
      <c r="M2182" s="14"/>
      <c r="N2182" s="14"/>
      <c r="O2182" s="14"/>
    </row>
    <row r="2427" spans="1:15">
      <c r="A2427" s="13"/>
      <c r="B2427" s="13"/>
      <c r="C2427" s="13"/>
      <c r="D2427" s="13"/>
      <c r="E2427" s="13"/>
      <c r="F2427" s="13"/>
      <c r="G2427" s="13"/>
      <c r="H2427" s="10"/>
      <c r="I2427" s="14"/>
      <c r="J2427" s="14"/>
      <c r="K2427" s="14"/>
      <c r="L2427" s="14"/>
      <c r="M2427" s="14"/>
      <c r="N2427" s="14"/>
      <c r="O2427" s="14"/>
    </row>
    <row r="2671" spans="1:15">
      <c r="A2671" s="13"/>
      <c r="B2671" s="13"/>
      <c r="C2671" s="13"/>
      <c r="D2671" s="13"/>
      <c r="E2671" s="13"/>
      <c r="F2671" s="13"/>
      <c r="G2671" s="13"/>
      <c r="H2671" s="10"/>
      <c r="I2671" s="14"/>
      <c r="J2671" s="14"/>
      <c r="K2671" s="14"/>
      <c r="L2671" s="14"/>
      <c r="M2671" s="14"/>
      <c r="N2671" s="14"/>
      <c r="O2671" s="14"/>
    </row>
    <row r="2915" spans="1:15">
      <c r="A2915" s="13"/>
      <c r="B2915" s="13"/>
      <c r="C2915" s="13"/>
      <c r="D2915" s="13"/>
      <c r="E2915" s="13"/>
      <c r="F2915" s="13"/>
      <c r="G2915" s="13"/>
      <c r="H2915" s="10"/>
      <c r="I2915" s="14"/>
      <c r="J2915" s="14"/>
      <c r="K2915" s="14"/>
      <c r="L2915" s="14"/>
      <c r="M2915" s="14"/>
      <c r="N2915" s="14"/>
      <c r="O2915" s="14"/>
    </row>
    <row r="3159" spans="1:15">
      <c r="A3159" s="13"/>
      <c r="B3159" s="13"/>
      <c r="C3159" s="13"/>
      <c r="D3159" s="13"/>
      <c r="E3159" s="13"/>
      <c r="F3159" s="13"/>
      <c r="G3159" s="13"/>
      <c r="H3159" s="10"/>
      <c r="I3159" s="14"/>
      <c r="J3159" s="14"/>
      <c r="K3159" s="14"/>
      <c r="L3159" s="14"/>
      <c r="M3159" s="14"/>
      <c r="N3159" s="14"/>
      <c r="O3159" s="14"/>
    </row>
    <row r="3403" spans="1:15">
      <c r="A3403" s="13"/>
      <c r="B3403" s="13"/>
      <c r="C3403" s="13"/>
      <c r="D3403" s="13"/>
      <c r="E3403" s="13"/>
      <c r="F3403" s="13"/>
      <c r="G3403" s="13"/>
      <c r="H3403" s="10"/>
      <c r="I3403" s="14"/>
      <c r="J3403" s="14"/>
      <c r="K3403" s="14"/>
      <c r="L3403" s="14"/>
      <c r="M3403" s="14"/>
      <c r="N3403" s="14"/>
      <c r="O3403" s="14"/>
    </row>
    <row r="3647" spans="1:15">
      <c r="A3647" s="13"/>
      <c r="B3647" s="13"/>
      <c r="C3647" s="13"/>
      <c r="D3647" s="13"/>
      <c r="E3647" s="13"/>
      <c r="F3647" s="13"/>
      <c r="G3647" s="13"/>
      <c r="H3647" s="10"/>
      <c r="I3647" s="14"/>
      <c r="J3647" s="14"/>
      <c r="K3647" s="14"/>
      <c r="L3647" s="14"/>
      <c r="M3647" s="14"/>
      <c r="N3647" s="14"/>
      <c r="O3647" s="14"/>
    </row>
    <row r="3890" spans="1:15">
      <c r="A3890" s="13"/>
      <c r="B3890" s="13"/>
      <c r="C3890" s="13"/>
      <c r="D3890" s="13"/>
      <c r="E3890" s="13"/>
      <c r="F3890" s="13"/>
      <c r="G3890" s="13"/>
      <c r="H3890" s="10"/>
      <c r="I3890" s="14"/>
      <c r="J3890" s="14"/>
      <c r="K3890" s="14"/>
      <c r="L3890" s="14"/>
      <c r="M3890" s="14"/>
      <c r="N3890" s="14"/>
      <c r="O3890" s="14"/>
    </row>
    <row r="4133" spans="1:15">
      <c r="A4133" s="13"/>
      <c r="B4133" s="13"/>
      <c r="C4133" s="13"/>
      <c r="D4133" s="13"/>
      <c r="E4133" s="13"/>
      <c r="F4133" s="13"/>
      <c r="G4133" s="13"/>
      <c r="H4133" s="10"/>
      <c r="I4133" s="14"/>
      <c r="J4133" s="14"/>
      <c r="K4133" s="14"/>
      <c r="L4133" s="14"/>
      <c r="M4133" s="14"/>
      <c r="N4133" s="14"/>
      <c r="O4133" s="14"/>
    </row>
    <row r="4375" spans="1:15">
      <c r="A4375" s="13"/>
      <c r="B4375" s="13"/>
      <c r="C4375" s="13"/>
      <c r="D4375" s="13"/>
      <c r="E4375" s="13"/>
      <c r="F4375" s="13"/>
      <c r="G4375" s="13"/>
      <c r="H4375" s="10"/>
      <c r="I4375" s="14"/>
      <c r="J4375" s="14"/>
      <c r="K4375" s="14"/>
      <c r="L4375" s="14"/>
      <c r="M4375" s="14"/>
      <c r="N4375" s="14"/>
      <c r="O4375" s="14"/>
    </row>
    <row r="4617" spans="1:15">
      <c r="A4617" s="13"/>
      <c r="B4617" s="13"/>
      <c r="C4617" s="13"/>
      <c r="D4617" s="13"/>
      <c r="E4617" s="13"/>
      <c r="F4617" s="13"/>
      <c r="G4617" s="13"/>
      <c r="H4617" s="10"/>
      <c r="I4617" s="14"/>
      <c r="J4617" s="14"/>
      <c r="K4617" s="14"/>
      <c r="L4617" s="14"/>
      <c r="M4617" s="14"/>
      <c r="N4617" s="14"/>
      <c r="O4617" s="14"/>
    </row>
    <row r="4859" spans="1:15">
      <c r="A4859" s="13"/>
      <c r="B4859" s="13"/>
      <c r="C4859" s="13"/>
      <c r="D4859" s="13"/>
      <c r="E4859" s="13"/>
      <c r="F4859" s="13"/>
      <c r="G4859" s="13"/>
      <c r="H4859" s="10"/>
      <c r="I4859" s="14"/>
      <c r="J4859" s="14"/>
      <c r="K4859" s="14"/>
      <c r="L4859" s="14"/>
      <c r="M4859" s="14"/>
      <c r="N4859" s="14"/>
      <c r="O4859" s="14"/>
    </row>
    <row r="5102" s="18" customFormat="1" spans="1:15">
      <c r="A5102" s="15"/>
      <c r="B5102" s="15"/>
      <c r="C5102" s="15"/>
      <c r="D5102" s="15"/>
      <c r="E5102" s="15"/>
      <c r="F5102" s="15"/>
      <c r="G5102" s="15"/>
      <c r="H5102" s="16"/>
      <c r="I5102" s="17"/>
      <c r="J5102" s="17"/>
      <c r="K5102" s="17"/>
      <c r="L5102" s="17"/>
      <c r="M5102" s="17"/>
      <c r="N5102" s="17"/>
      <c r="O5102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L15" sqref="L15"/>
    </sheetView>
  </sheetViews>
  <sheetFormatPr defaultColWidth="9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0" width="9.53097345132743" style="3"/>
    <col min="11" max="16384" width="9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23</v>
      </c>
      <c r="B2" s="7" t="s">
        <v>24</v>
      </c>
      <c r="C2" s="7" t="s">
        <v>25</v>
      </c>
      <c r="D2" s="1">
        <v>2005</v>
      </c>
      <c r="E2" s="8">
        <v>-0.1653</v>
      </c>
      <c r="F2" s="8">
        <v>0.226</v>
      </c>
      <c r="G2" s="9">
        <v>0.03</v>
      </c>
      <c r="H2" s="10">
        <f>(E2-G2)/F2</f>
        <v>-0.864159292035398</v>
      </c>
    </row>
    <row r="3" spans="1:8">
      <c r="A3" s="6"/>
      <c r="B3" s="7"/>
      <c r="C3" s="7"/>
      <c r="D3" s="1">
        <v>2006</v>
      </c>
      <c r="E3" s="11">
        <v>0.899</v>
      </c>
      <c r="F3" s="11">
        <v>0.2482</v>
      </c>
      <c r="G3" s="9">
        <v>0.03</v>
      </c>
      <c r="H3" s="10">
        <f t="shared" ref="H3:H22" si="0">(E3-G3)/F3</f>
        <v>3.50120870265915</v>
      </c>
    </row>
    <row r="4" spans="1:8">
      <c r="A4" s="6"/>
      <c r="B4" s="7"/>
      <c r="C4" s="7"/>
      <c r="D4" s="1">
        <v>2007</v>
      </c>
      <c r="E4" s="11">
        <v>2.0434</v>
      </c>
      <c r="F4" s="11">
        <v>0.4077</v>
      </c>
      <c r="G4" s="9">
        <v>0.03</v>
      </c>
      <c r="H4" s="10">
        <f t="shared" si="0"/>
        <v>4.93843512386559</v>
      </c>
    </row>
    <row r="5" spans="1:8">
      <c r="A5" s="6"/>
      <c r="B5" s="7"/>
      <c r="C5" s="7"/>
      <c r="D5" s="1">
        <v>2008</v>
      </c>
      <c r="E5" s="11">
        <v>-0.4258</v>
      </c>
      <c r="F5" s="11">
        <v>0.5029</v>
      </c>
      <c r="G5" s="9">
        <v>0.03</v>
      </c>
      <c r="H5" s="10">
        <f t="shared" si="0"/>
        <v>-0.906343209385564</v>
      </c>
    </row>
    <row r="6" spans="1:8">
      <c r="A6" s="6"/>
      <c r="B6" s="7"/>
      <c r="C6" s="7"/>
      <c r="D6" s="1">
        <v>2009</v>
      </c>
      <c r="E6" s="11">
        <v>0.9793</v>
      </c>
      <c r="F6" s="11">
        <v>0.2975</v>
      </c>
      <c r="G6" s="9">
        <v>0.03</v>
      </c>
      <c r="H6" s="10">
        <f t="shared" si="0"/>
        <v>3.1909243697479</v>
      </c>
    </row>
    <row r="7" spans="1:8">
      <c r="A7" s="6"/>
      <c r="B7" s="7"/>
      <c r="C7" s="7"/>
      <c r="D7" s="1">
        <v>2010</v>
      </c>
      <c r="E7" s="11">
        <v>0.2383</v>
      </c>
      <c r="F7" s="11">
        <v>0.2973</v>
      </c>
      <c r="G7" s="9">
        <v>0.03</v>
      </c>
      <c r="H7" s="10">
        <f t="shared" si="0"/>
        <v>0.700639085099226</v>
      </c>
    </row>
    <row r="8" spans="1:8">
      <c r="A8" s="6"/>
      <c r="B8" s="7"/>
      <c r="C8" s="7"/>
      <c r="D8" s="1">
        <v>2011</v>
      </c>
      <c r="E8" s="11">
        <v>-0.3107</v>
      </c>
      <c r="F8" s="11">
        <v>0.2181</v>
      </c>
      <c r="G8" s="9">
        <v>0.03</v>
      </c>
      <c r="H8" s="10">
        <f t="shared" si="0"/>
        <v>-1.56212746446584</v>
      </c>
    </row>
    <row r="9" spans="1:8">
      <c r="A9" s="6"/>
      <c r="B9" s="7"/>
      <c r="C9" s="7"/>
      <c r="D9" s="1">
        <v>2012</v>
      </c>
      <c r="E9" s="11">
        <v>0.0984</v>
      </c>
      <c r="F9" s="11">
        <v>0.2236</v>
      </c>
      <c r="G9" s="9">
        <v>0.03</v>
      </c>
      <c r="H9" s="10">
        <f t="shared" si="0"/>
        <v>0.305903398926655</v>
      </c>
    </row>
    <row r="10" spans="1:8">
      <c r="A10" s="6"/>
      <c r="B10" s="7"/>
      <c r="C10" s="7"/>
      <c r="D10" s="1">
        <v>2013</v>
      </c>
      <c r="E10" s="11">
        <v>0.2882</v>
      </c>
      <c r="F10" s="11">
        <v>0.2315</v>
      </c>
      <c r="G10" s="9">
        <v>0.03</v>
      </c>
      <c r="H10" s="10">
        <f t="shared" si="0"/>
        <v>1.11533477321814</v>
      </c>
    </row>
    <row r="11" spans="1:8">
      <c r="A11" s="6"/>
      <c r="B11" s="7"/>
      <c r="C11" s="7"/>
      <c r="D11" s="1">
        <v>2014</v>
      </c>
      <c r="E11" s="11">
        <v>0.1006</v>
      </c>
      <c r="F11" s="11">
        <v>0.1711</v>
      </c>
      <c r="G11" s="9">
        <v>0.03</v>
      </c>
      <c r="H11" s="10">
        <f t="shared" si="0"/>
        <v>0.412624196376388</v>
      </c>
    </row>
    <row r="12" spans="1:8">
      <c r="A12" s="6"/>
      <c r="B12" s="7"/>
      <c r="C12" s="7"/>
      <c r="D12" s="1">
        <v>2015</v>
      </c>
      <c r="E12" s="11">
        <v>0.4272</v>
      </c>
      <c r="F12" s="11">
        <v>0.4104</v>
      </c>
      <c r="G12" s="9">
        <v>0.03</v>
      </c>
      <c r="H12" s="10">
        <f t="shared" si="0"/>
        <v>0.967836257309941</v>
      </c>
    </row>
    <row r="13" spans="1:8">
      <c r="A13" s="6"/>
      <c r="B13" s="7"/>
      <c r="C13" s="7"/>
      <c r="D13" s="1">
        <v>2016</v>
      </c>
      <c r="E13" s="11">
        <v>-0.1212</v>
      </c>
      <c r="F13" s="11">
        <v>0.2485</v>
      </c>
      <c r="G13" s="9">
        <v>0.03</v>
      </c>
      <c r="H13" s="10">
        <f t="shared" si="0"/>
        <v>-0.608450704225352</v>
      </c>
    </row>
    <row r="14" spans="1:8">
      <c r="A14" s="6"/>
      <c r="B14" s="7"/>
      <c r="C14" s="7"/>
      <c r="D14" s="1">
        <v>2017</v>
      </c>
      <c r="E14" s="11">
        <v>0.1375</v>
      </c>
      <c r="F14" s="11">
        <v>0.1206</v>
      </c>
      <c r="G14" s="9">
        <v>0.03</v>
      </c>
      <c r="H14" s="10">
        <f t="shared" si="0"/>
        <v>0.891376451077944</v>
      </c>
    </row>
    <row r="15" spans="1:8">
      <c r="A15" s="6"/>
      <c r="B15" s="7"/>
      <c r="C15" s="7"/>
      <c r="D15" s="1">
        <v>2018</v>
      </c>
      <c r="E15" s="11">
        <v>-0.2597</v>
      </c>
      <c r="F15" s="11">
        <v>0.2669</v>
      </c>
      <c r="G15" s="9">
        <v>0.03</v>
      </c>
      <c r="H15" s="10">
        <f t="shared" si="0"/>
        <v>-1.08542525290371</v>
      </c>
    </row>
    <row r="16" spans="1:8">
      <c r="A16" s="6"/>
      <c r="B16" s="7"/>
      <c r="C16" s="7"/>
      <c r="D16" s="1">
        <v>2019</v>
      </c>
      <c r="E16" s="11">
        <v>0.3005</v>
      </c>
      <c r="F16" s="11">
        <v>0.2196</v>
      </c>
      <c r="G16" s="9">
        <v>0.03</v>
      </c>
      <c r="H16" s="10">
        <f t="shared" si="0"/>
        <v>1.23178506375228</v>
      </c>
    </row>
    <row r="17" spans="1:8">
      <c r="A17" s="6"/>
      <c r="B17" s="7"/>
      <c r="C17" s="7"/>
      <c r="D17" s="1">
        <v>2020</v>
      </c>
      <c r="E17" s="11">
        <v>0.5087</v>
      </c>
      <c r="F17" s="11">
        <v>0.274</v>
      </c>
      <c r="G17" s="9">
        <v>0.03</v>
      </c>
      <c r="H17" s="10">
        <f t="shared" si="0"/>
        <v>1.7470802919708</v>
      </c>
    </row>
    <row r="18" spans="1:8">
      <c r="A18" s="6"/>
      <c r="B18" s="7"/>
      <c r="C18" s="7"/>
      <c r="D18" s="1">
        <v>2021</v>
      </c>
      <c r="E18" s="11">
        <v>-0.1224</v>
      </c>
      <c r="F18" s="11">
        <v>0.276</v>
      </c>
      <c r="G18" s="9">
        <v>0.03</v>
      </c>
      <c r="H18" s="10">
        <f t="shared" si="0"/>
        <v>-0.552173913043478</v>
      </c>
    </row>
    <row r="19" spans="1:8">
      <c r="A19" s="6"/>
      <c r="B19" s="7"/>
      <c r="C19" s="7"/>
      <c r="D19" s="1">
        <v>2022</v>
      </c>
      <c r="E19" s="11">
        <v>-0.2244</v>
      </c>
      <c r="F19" s="11">
        <v>0.2764</v>
      </c>
      <c r="G19" s="9">
        <v>0.03</v>
      </c>
      <c r="H19" s="10">
        <f t="shared" si="0"/>
        <v>-0.920405209840811</v>
      </c>
    </row>
    <row r="20" spans="1:8">
      <c r="A20" s="6"/>
      <c r="B20" s="7"/>
      <c r="C20" s="7"/>
      <c r="D20" s="1">
        <v>2023</v>
      </c>
      <c r="E20" s="11">
        <v>-0.1245</v>
      </c>
      <c r="F20" s="11">
        <v>0.171</v>
      </c>
      <c r="G20" s="9">
        <v>0.03</v>
      </c>
      <c r="H20" s="10">
        <f t="shared" si="0"/>
        <v>-0.903508771929824</v>
      </c>
    </row>
    <row r="21" spans="1:8">
      <c r="A21" s="6"/>
      <c r="B21" s="7"/>
      <c r="C21" s="7"/>
      <c r="D21" s="1">
        <v>2024</v>
      </c>
      <c r="E21" s="11">
        <v>-0.1386</v>
      </c>
      <c r="F21" s="11">
        <v>0.2839</v>
      </c>
      <c r="G21" s="9">
        <v>0.03</v>
      </c>
      <c r="H21" s="10">
        <f t="shared" si="0"/>
        <v>-0.593871081366678</v>
      </c>
    </row>
    <row r="22" spans="1:8">
      <c r="A22" s="6"/>
      <c r="B22" s="7"/>
      <c r="C22" s="7"/>
      <c r="D22" s="1">
        <v>2025</v>
      </c>
      <c r="E22" s="11">
        <v>0.0436</v>
      </c>
      <c r="F22" s="11">
        <v>0.1809</v>
      </c>
      <c r="G22" s="9">
        <v>0.03</v>
      </c>
      <c r="H22" s="10">
        <f t="shared" si="0"/>
        <v>0.0751796572692095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L16" sqref="L16"/>
    </sheetView>
  </sheetViews>
  <sheetFormatPr defaultColWidth="9.02654867256637" defaultRowHeight="13.5" outlineLevelCol="7"/>
  <cols>
    <col min="1" max="1" width="9.24778761061947" style="1" customWidth="1"/>
    <col min="2" max="2" width="16.8318584070796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26</v>
      </c>
      <c r="B2" s="7" t="s">
        <v>27</v>
      </c>
      <c r="C2" s="7" t="s">
        <v>28</v>
      </c>
      <c r="D2" s="1">
        <v>2005</v>
      </c>
      <c r="E2" s="8">
        <v>0.1388</v>
      </c>
      <c r="F2" s="8">
        <v>0.2576</v>
      </c>
      <c r="G2" s="9">
        <v>0.03</v>
      </c>
      <c r="H2" s="10">
        <f>(E2-G2)/F2</f>
        <v>0.422360248447205</v>
      </c>
    </row>
    <row r="3" spans="1:8">
      <c r="A3" s="6"/>
      <c r="B3" s="7"/>
      <c r="C3" s="7"/>
      <c r="D3" s="1">
        <v>2006</v>
      </c>
      <c r="E3" s="11">
        <v>2.0563</v>
      </c>
      <c r="F3" s="11">
        <v>0.2926</v>
      </c>
      <c r="G3" s="9">
        <v>0.03</v>
      </c>
      <c r="H3" s="10">
        <f t="shared" ref="H3:H22" si="0">(E3-G3)/F3</f>
        <v>6.92515379357485</v>
      </c>
    </row>
    <row r="4" spans="1:8">
      <c r="A4" s="6"/>
      <c r="B4" s="7"/>
      <c r="C4" s="7"/>
      <c r="D4" s="1">
        <v>2007</v>
      </c>
      <c r="E4" s="11">
        <v>1.2819</v>
      </c>
      <c r="F4" s="11">
        <v>0.4033</v>
      </c>
      <c r="G4" s="9">
        <v>0.03</v>
      </c>
      <c r="H4" s="10">
        <f t="shared" si="0"/>
        <v>3.10414083808579</v>
      </c>
    </row>
    <row r="5" spans="1:8">
      <c r="A5" s="6"/>
      <c r="B5" s="7"/>
      <c r="C5" s="7"/>
      <c r="D5" s="1">
        <v>2008</v>
      </c>
      <c r="E5" s="11">
        <v>-0.6642</v>
      </c>
      <c r="F5" s="11">
        <v>0.5591</v>
      </c>
      <c r="G5" s="9">
        <v>0.03</v>
      </c>
      <c r="H5" s="10">
        <f t="shared" si="0"/>
        <v>-1.24163834734395</v>
      </c>
    </row>
    <row r="6" spans="1:8">
      <c r="A6" s="6"/>
      <c r="B6" s="7"/>
      <c r="C6" s="7"/>
      <c r="D6" s="1">
        <v>2009</v>
      </c>
      <c r="E6" s="11">
        <v>1.0369</v>
      </c>
      <c r="F6" s="11">
        <v>0.3548</v>
      </c>
      <c r="G6" s="9">
        <v>0.03</v>
      </c>
      <c r="H6" s="10">
        <f t="shared" si="0"/>
        <v>2.83793686583991</v>
      </c>
    </row>
    <row r="7" spans="1:8">
      <c r="A7" s="6"/>
      <c r="B7" s="7"/>
      <c r="C7" s="7"/>
      <c r="D7" s="1">
        <v>2010</v>
      </c>
      <c r="E7" s="11">
        <v>-0.2798</v>
      </c>
      <c r="F7" s="11">
        <v>0.27</v>
      </c>
      <c r="G7" s="9">
        <v>0.03</v>
      </c>
      <c r="H7" s="10">
        <f t="shared" si="0"/>
        <v>-1.14740740740741</v>
      </c>
    </row>
    <row r="8" spans="1:8">
      <c r="A8" s="6"/>
      <c r="B8" s="7"/>
      <c r="C8" s="7"/>
      <c r="D8" s="1">
        <v>2011</v>
      </c>
      <c r="E8" s="11">
        <v>-0.1496</v>
      </c>
      <c r="F8" s="11">
        <v>0.2172</v>
      </c>
      <c r="G8" s="9">
        <v>0.03</v>
      </c>
      <c r="H8" s="10">
        <f t="shared" si="0"/>
        <v>-0.826887661141805</v>
      </c>
    </row>
    <row r="9" spans="1:8">
      <c r="A9" s="6"/>
      <c r="B9" s="7"/>
      <c r="C9" s="7"/>
      <c r="D9" s="1">
        <v>2012</v>
      </c>
      <c r="E9" s="11">
        <v>0.1908</v>
      </c>
      <c r="F9" s="11">
        <v>0.2034</v>
      </c>
      <c r="G9" s="9">
        <v>0.03</v>
      </c>
      <c r="H9" s="10">
        <f t="shared" si="0"/>
        <v>0.790560471976401</v>
      </c>
    </row>
    <row r="10" spans="1:8">
      <c r="A10" s="6"/>
      <c r="B10" s="7"/>
      <c r="C10" s="7"/>
      <c r="D10" s="1">
        <v>2013</v>
      </c>
      <c r="E10" s="11">
        <v>-0.0822</v>
      </c>
      <c r="F10" s="11">
        <v>0.294</v>
      </c>
      <c r="G10" s="9">
        <v>0.03</v>
      </c>
      <c r="H10" s="10">
        <f t="shared" si="0"/>
        <v>-0.381632653061225</v>
      </c>
    </row>
    <row r="11" spans="1:8">
      <c r="A11" s="6"/>
      <c r="B11" s="7"/>
      <c r="C11" s="7"/>
      <c r="D11" s="1">
        <v>2014</v>
      </c>
      <c r="E11" s="11">
        <v>0.8726</v>
      </c>
      <c r="F11" s="11">
        <v>0.2691</v>
      </c>
      <c r="G11" s="9">
        <v>0.03</v>
      </c>
      <c r="H11" s="10">
        <f t="shared" si="0"/>
        <v>3.13117800074322</v>
      </c>
    </row>
    <row r="12" spans="1:8">
      <c r="A12" s="6"/>
      <c r="B12" s="7"/>
      <c r="C12" s="7"/>
      <c r="D12" s="1">
        <v>2015</v>
      </c>
      <c r="E12" s="11">
        <v>-0.1093</v>
      </c>
      <c r="F12" s="11">
        <v>0.4159</v>
      </c>
      <c r="G12" s="9">
        <v>0.03</v>
      </c>
      <c r="H12" s="10">
        <f t="shared" si="0"/>
        <v>-0.334936282760279</v>
      </c>
    </row>
    <row r="13" spans="1:8">
      <c r="A13" s="6"/>
      <c r="B13" s="7"/>
      <c r="C13" s="7"/>
      <c r="D13" s="1">
        <v>2016</v>
      </c>
      <c r="E13" s="11">
        <v>-0.0882</v>
      </c>
      <c r="F13" s="11">
        <v>0.1963</v>
      </c>
      <c r="G13" s="9">
        <v>0.03</v>
      </c>
      <c r="H13" s="10">
        <f t="shared" si="0"/>
        <v>-0.602139582272033</v>
      </c>
    </row>
    <row r="14" spans="1:8">
      <c r="A14" s="6"/>
      <c r="B14" s="7"/>
      <c r="C14" s="7"/>
      <c r="D14" s="1">
        <v>2017</v>
      </c>
      <c r="E14" s="11">
        <v>0.1674</v>
      </c>
      <c r="F14" s="11">
        <v>0.1272</v>
      </c>
      <c r="G14" s="9">
        <v>0.03</v>
      </c>
      <c r="H14" s="10">
        <f t="shared" si="0"/>
        <v>1.08018867924528</v>
      </c>
    </row>
    <row r="15" spans="1:8">
      <c r="A15" s="6"/>
      <c r="B15" s="7"/>
      <c r="C15" s="7"/>
      <c r="D15" s="1">
        <v>2018</v>
      </c>
      <c r="E15" s="11">
        <v>-0.2002</v>
      </c>
      <c r="F15" s="11">
        <v>0.2198</v>
      </c>
      <c r="G15" s="9">
        <v>0.03</v>
      </c>
      <c r="H15" s="10">
        <f t="shared" si="0"/>
        <v>-1.04731574158326</v>
      </c>
    </row>
    <row r="16" spans="1:8">
      <c r="A16" s="6"/>
      <c r="B16" s="7"/>
      <c r="C16" s="7"/>
      <c r="D16" s="1">
        <v>2019</v>
      </c>
      <c r="E16" s="11">
        <v>0.328</v>
      </c>
      <c r="F16" s="11">
        <v>0.2162</v>
      </c>
      <c r="G16" s="9">
        <v>0.03</v>
      </c>
      <c r="H16" s="10">
        <f t="shared" si="0"/>
        <v>1.37835337650324</v>
      </c>
    </row>
    <row r="17" spans="1:8">
      <c r="A17" s="6"/>
      <c r="B17" s="7"/>
      <c r="C17" s="7"/>
      <c r="D17" s="1">
        <v>2020</v>
      </c>
      <c r="E17" s="11">
        <v>0.027</v>
      </c>
      <c r="F17" s="11">
        <v>0.2538</v>
      </c>
      <c r="G17" s="9">
        <v>0.03</v>
      </c>
      <c r="H17" s="10">
        <f t="shared" si="0"/>
        <v>-0.0118203309692671</v>
      </c>
    </row>
    <row r="18" spans="1:8">
      <c r="A18" s="6"/>
      <c r="B18" s="7"/>
      <c r="C18" s="7"/>
      <c r="D18" s="1">
        <v>2021</v>
      </c>
      <c r="E18" s="11">
        <v>-0.1101</v>
      </c>
      <c r="F18" s="11">
        <v>0.1919</v>
      </c>
      <c r="G18" s="9">
        <v>0.03</v>
      </c>
      <c r="H18" s="10">
        <f t="shared" si="0"/>
        <v>-0.730067743616467</v>
      </c>
    </row>
    <row r="19" spans="1:8">
      <c r="A19" s="6"/>
      <c r="B19" s="7"/>
      <c r="C19" s="7"/>
      <c r="D19" s="1">
        <v>2022</v>
      </c>
      <c r="E19" s="11">
        <v>-0.1581</v>
      </c>
      <c r="F19" s="11">
        <v>0.2134</v>
      </c>
      <c r="G19" s="9">
        <v>0.03</v>
      </c>
      <c r="H19" s="10">
        <f t="shared" si="0"/>
        <v>-0.881443298969072</v>
      </c>
    </row>
    <row r="20" spans="1:8">
      <c r="A20" s="6"/>
      <c r="B20" s="7"/>
      <c r="C20" s="7"/>
      <c r="D20" s="1">
        <v>2023</v>
      </c>
      <c r="E20" s="11">
        <v>-0.0555</v>
      </c>
      <c r="F20" s="11">
        <v>0.1659</v>
      </c>
      <c r="G20" s="9">
        <v>0.03</v>
      </c>
      <c r="H20" s="10">
        <f t="shared" si="0"/>
        <v>-0.515370705244123</v>
      </c>
    </row>
    <row r="21" spans="1:8">
      <c r="A21" s="6"/>
      <c r="B21" s="7"/>
      <c r="C21" s="7"/>
      <c r="D21" s="1">
        <v>2024</v>
      </c>
      <c r="E21" s="11">
        <v>0.3272</v>
      </c>
      <c r="F21" s="11">
        <v>0.2047</v>
      </c>
      <c r="G21" s="9">
        <v>0.03</v>
      </c>
      <c r="H21" s="10">
        <f t="shared" si="0"/>
        <v>1.45188080117245</v>
      </c>
    </row>
    <row r="22" spans="1:8">
      <c r="A22" s="6"/>
      <c r="B22" s="7"/>
      <c r="C22" s="7"/>
      <c r="D22" s="1">
        <v>2025</v>
      </c>
      <c r="E22" s="11">
        <v>0.0786</v>
      </c>
      <c r="F22" s="11">
        <v>0.1439</v>
      </c>
      <c r="G22" s="9">
        <v>0.03</v>
      </c>
      <c r="H22" s="10">
        <f t="shared" si="0"/>
        <v>0.337734537873523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97"/>
  <sheetViews>
    <sheetView topLeftCell="C1" workbookViewId="0">
      <selection activeCell="K14" sqref="K14"/>
    </sheetView>
  </sheetViews>
  <sheetFormatPr defaultColWidth="9.02654867256637" defaultRowHeight="13.5"/>
  <cols>
    <col min="1" max="1" width="9.24778761061947" style="1" customWidth="1"/>
    <col min="2" max="2" width="16.8318584070796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>
        <v>399965</v>
      </c>
      <c r="B2" s="7" t="s">
        <v>29</v>
      </c>
      <c r="C2" s="7" t="s">
        <v>30</v>
      </c>
      <c r="D2" s="1">
        <v>2005</v>
      </c>
      <c r="E2" s="8">
        <v>-0.0716</v>
      </c>
      <c r="F2" s="8">
        <v>0.2582</v>
      </c>
      <c r="G2" s="9">
        <v>0.03</v>
      </c>
      <c r="H2" s="10">
        <f>(E2-G2)/F2</f>
        <v>-0.393493415956623</v>
      </c>
    </row>
    <row r="3" spans="1:8">
      <c r="A3" s="6"/>
      <c r="B3" s="7"/>
      <c r="C3" s="7"/>
      <c r="D3" s="1">
        <v>2006</v>
      </c>
      <c r="E3" s="11">
        <v>1.7261</v>
      </c>
      <c r="F3" s="11">
        <v>0.3021</v>
      </c>
      <c r="G3" s="9">
        <v>0.03</v>
      </c>
      <c r="H3" s="10">
        <f t="shared" ref="H3:H22" si="0">(E3-G3)/F3</f>
        <v>5.61436610393909</v>
      </c>
    </row>
    <row r="4" spans="1:8">
      <c r="A4" s="6"/>
      <c r="B4" s="7"/>
      <c r="C4" s="7"/>
      <c r="D4" s="1">
        <v>2007</v>
      </c>
      <c r="E4" s="11">
        <v>1.6147</v>
      </c>
      <c r="F4" s="11">
        <v>0.4675</v>
      </c>
      <c r="G4" s="9">
        <v>0.03</v>
      </c>
      <c r="H4" s="10">
        <f t="shared" si="0"/>
        <v>3.38973262032086</v>
      </c>
    </row>
    <row r="5" spans="1:8">
      <c r="A5" s="6"/>
      <c r="B5" s="7"/>
      <c r="C5" s="7"/>
      <c r="D5" s="1">
        <v>2008</v>
      </c>
      <c r="E5" s="11">
        <v>-0.6535</v>
      </c>
      <c r="F5" s="11">
        <v>0.5992</v>
      </c>
      <c r="G5" s="9">
        <v>0.03</v>
      </c>
      <c r="H5" s="10">
        <f t="shared" si="0"/>
        <v>-1.14068758344459</v>
      </c>
    </row>
    <row r="6" spans="1:8">
      <c r="A6" s="6"/>
      <c r="B6" s="7"/>
      <c r="C6" s="7"/>
      <c r="D6" s="1">
        <v>2009</v>
      </c>
      <c r="E6" s="11">
        <v>1.135</v>
      </c>
      <c r="F6" s="11">
        <v>0.4232</v>
      </c>
      <c r="G6" s="9">
        <v>0.03</v>
      </c>
      <c r="H6" s="10">
        <f t="shared" si="0"/>
        <v>2.61105860113422</v>
      </c>
    </row>
    <row r="7" spans="1:8">
      <c r="A7" s="6"/>
      <c r="B7" s="7"/>
      <c r="C7" s="7"/>
      <c r="D7" s="1">
        <v>2010</v>
      </c>
      <c r="E7" s="11">
        <v>-0.2329</v>
      </c>
      <c r="F7" s="11">
        <v>0.3303</v>
      </c>
      <c r="G7" s="9">
        <v>0.03</v>
      </c>
      <c r="H7" s="10">
        <f t="shared" si="0"/>
        <v>-0.795943082046624</v>
      </c>
    </row>
    <row r="8" spans="1:8">
      <c r="A8" s="6"/>
      <c r="B8" s="7"/>
      <c r="C8" s="7"/>
      <c r="D8" s="1">
        <v>2011</v>
      </c>
      <c r="E8" s="11">
        <v>-0.2198</v>
      </c>
      <c r="F8" s="11">
        <v>0.2581</v>
      </c>
      <c r="G8" s="9">
        <v>0.03</v>
      </c>
      <c r="H8" s="10">
        <f t="shared" si="0"/>
        <v>-0.967841921735761</v>
      </c>
    </row>
    <row r="9" spans="1:8">
      <c r="A9" s="6"/>
      <c r="B9" s="7"/>
      <c r="C9" s="7"/>
      <c r="D9" s="1">
        <v>2012</v>
      </c>
      <c r="E9" s="11">
        <v>0.2128</v>
      </c>
      <c r="F9" s="11">
        <v>0.2647</v>
      </c>
      <c r="G9" s="9">
        <v>0.03</v>
      </c>
      <c r="H9" s="10">
        <f t="shared" si="0"/>
        <v>0.690593124291651</v>
      </c>
    </row>
    <row r="10" spans="1:8">
      <c r="A10" s="6"/>
      <c r="B10" s="7"/>
      <c r="C10" s="7"/>
      <c r="D10" s="1">
        <v>2013</v>
      </c>
      <c r="E10" s="12">
        <v>0</v>
      </c>
      <c r="F10" s="12">
        <v>0</v>
      </c>
      <c r="G10" s="9">
        <v>0.03</v>
      </c>
      <c r="H10" s="22" t="s">
        <v>31</v>
      </c>
    </row>
    <row r="11" spans="1:8">
      <c r="A11" s="6"/>
      <c r="B11" s="7"/>
      <c r="C11" s="7"/>
      <c r="D11" s="1">
        <v>2014</v>
      </c>
      <c r="E11" s="11">
        <v>0.6561</v>
      </c>
      <c r="F11" s="11">
        <v>0.2022</v>
      </c>
      <c r="G11" s="9">
        <v>0.03</v>
      </c>
      <c r="H11" s="10">
        <f t="shared" si="0"/>
        <v>3.09643916913947</v>
      </c>
    </row>
    <row r="12" spans="1:8">
      <c r="A12" s="6"/>
      <c r="B12" s="7"/>
      <c r="C12" s="7"/>
      <c r="D12" s="1">
        <v>2015</v>
      </c>
      <c r="E12" s="11">
        <v>0.409</v>
      </c>
      <c r="F12" s="11">
        <v>0.4381</v>
      </c>
      <c r="G12" s="9">
        <v>0.03</v>
      </c>
      <c r="H12" s="10">
        <f t="shared" si="0"/>
        <v>0.865099292398996</v>
      </c>
    </row>
    <row r="13" spans="1:8">
      <c r="A13" s="6"/>
      <c r="B13" s="7"/>
      <c r="C13" s="7"/>
      <c r="D13" s="1">
        <v>2016</v>
      </c>
      <c r="E13" s="11">
        <v>-0.1765</v>
      </c>
      <c r="F13" s="11">
        <v>0.2449</v>
      </c>
      <c r="G13" s="9">
        <v>0.03</v>
      </c>
      <c r="H13" s="10">
        <f t="shared" si="0"/>
        <v>-0.843201306655778</v>
      </c>
    </row>
    <row r="14" spans="1:8">
      <c r="A14" s="6"/>
      <c r="B14" s="7"/>
      <c r="C14" s="7"/>
      <c r="D14" s="1">
        <v>2017</v>
      </c>
      <c r="E14" s="11">
        <v>0.0947</v>
      </c>
      <c r="F14" s="11">
        <v>0.1685</v>
      </c>
      <c r="G14" s="9">
        <v>0.03</v>
      </c>
      <c r="H14" s="10">
        <f t="shared" si="0"/>
        <v>0.383976261127596</v>
      </c>
    </row>
    <row r="15" spans="1:8">
      <c r="A15" s="6"/>
      <c r="B15" s="7"/>
      <c r="C15" s="7"/>
      <c r="D15" s="1">
        <v>2018</v>
      </c>
      <c r="E15" s="11">
        <v>-0.2592</v>
      </c>
      <c r="F15" s="11">
        <v>0.2966</v>
      </c>
      <c r="G15" s="9">
        <v>0.03</v>
      </c>
      <c r="H15" s="10">
        <f t="shared" si="0"/>
        <v>-0.975050573162509</v>
      </c>
    </row>
    <row r="16" spans="1:8">
      <c r="A16" s="6"/>
      <c r="B16" s="7"/>
      <c r="C16" s="7"/>
      <c r="D16" s="1">
        <v>2019</v>
      </c>
      <c r="E16" s="11">
        <v>0.2656</v>
      </c>
      <c r="F16" s="11">
        <v>0.2391</v>
      </c>
      <c r="G16" s="9">
        <v>0.03</v>
      </c>
      <c r="H16" s="10">
        <f t="shared" si="0"/>
        <v>0.985361773316604</v>
      </c>
    </row>
    <row r="17" spans="1:8">
      <c r="A17" s="6"/>
      <c r="B17" s="7"/>
      <c r="C17" s="7"/>
      <c r="D17" s="1">
        <v>2020</v>
      </c>
      <c r="E17" s="11">
        <v>-0.1543</v>
      </c>
      <c r="F17" s="11">
        <v>0.2606</v>
      </c>
      <c r="G17" s="9">
        <v>0.03</v>
      </c>
      <c r="H17" s="10">
        <f t="shared" si="0"/>
        <v>-0.707214121258634</v>
      </c>
    </row>
    <row r="18" spans="1:8">
      <c r="A18" s="6"/>
      <c r="B18" s="7"/>
      <c r="C18" s="7"/>
      <c r="D18" s="1">
        <v>2021</v>
      </c>
      <c r="E18" s="11">
        <v>-0.1506</v>
      </c>
      <c r="F18" s="11">
        <v>0.2515</v>
      </c>
      <c r="G18" s="9">
        <v>0.03</v>
      </c>
      <c r="H18" s="10">
        <f t="shared" si="0"/>
        <v>-0.718091451292247</v>
      </c>
    </row>
    <row r="19" spans="1:8">
      <c r="A19" s="6"/>
      <c r="B19" s="7"/>
      <c r="C19" s="7"/>
      <c r="D19" s="1">
        <v>2022</v>
      </c>
      <c r="E19" s="11">
        <v>-0.1465</v>
      </c>
      <c r="F19" s="11">
        <v>0.3558</v>
      </c>
      <c r="G19" s="9">
        <v>0.03</v>
      </c>
      <c r="H19" s="10">
        <f t="shared" si="0"/>
        <v>-0.496065205171445</v>
      </c>
    </row>
    <row r="20" spans="1:8">
      <c r="A20" s="6"/>
      <c r="B20" s="7"/>
      <c r="C20" s="7"/>
      <c r="D20" s="1">
        <v>2023</v>
      </c>
      <c r="E20" s="11">
        <v>-0.3323</v>
      </c>
      <c r="F20" s="11">
        <v>0.2295</v>
      </c>
      <c r="G20" s="9">
        <v>0.03</v>
      </c>
      <c r="H20" s="10">
        <f t="shared" si="0"/>
        <v>-1.57864923747277</v>
      </c>
    </row>
    <row r="21" spans="1:8">
      <c r="A21" s="6"/>
      <c r="B21" s="7"/>
      <c r="C21" s="7"/>
      <c r="D21" s="1">
        <v>2024</v>
      </c>
      <c r="E21" s="11">
        <v>-0.0341</v>
      </c>
      <c r="F21" s="11">
        <v>0.3627</v>
      </c>
      <c r="G21" s="9">
        <v>0.03</v>
      </c>
      <c r="H21" s="10">
        <f t="shared" si="0"/>
        <v>-0.176730079955886</v>
      </c>
    </row>
    <row r="22" spans="1:8">
      <c r="A22" s="6"/>
      <c r="B22" s="7"/>
      <c r="C22" s="7"/>
      <c r="D22" s="1">
        <v>2025</v>
      </c>
      <c r="E22" s="11">
        <v>-0.0399</v>
      </c>
      <c r="F22" s="11">
        <v>0.2218</v>
      </c>
      <c r="G22" s="9">
        <v>0.03</v>
      </c>
      <c r="H22" s="10">
        <f t="shared" si="0"/>
        <v>-0.315148782687105</v>
      </c>
    </row>
    <row r="242" spans="1:15">
      <c r="A242" s="13"/>
      <c r="B242" s="13"/>
      <c r="C242" s="13"/>
      <c r="D242" s="13"/>
      <c r="E242" s="13"/>
      <c r="F242" s="13"/>
      <c r="G242" s="13"/>
      <c r="H242" s="10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10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10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10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10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10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10"/>
      <c r="I1701" s="14"/>
      <c r="J1701" s="14"/>
      <c r="K1701" s="14"/>
      <c r="L1701" s="14"/>
      <c r="M1701" s="14"/>
      <c r="N1701" s="14"/>
      <c r="O1701" s="14"/>
    </row>
    <row r="1937" spans="1:15">
      <c r="A1937" s="13"/>
      <c r="B1937" s="13"/>
      <c r="C1937" s="13"/>
      <c r="D1937" s="13"/>
      <c r="E1937" s="13"/>
      <c r="F1937" s="13"/>
      <c r="G1937" s="13"/>
      <c r="H1937" s="10"/>
      <c r="I1937" s="14"/>
      <c r="J1937" s="14"/>
      <c r="K1937" s="14"/>
      <c r="L1937" s="14"/>
      <c r="M1937" s="14"/>
      <c r="N1937" s="14"/>
      <c r="O1937" s="14"/>
    </row>
    <row r="2122" spans="1:15">
      <c r="A2122" s="13"/>
      <c r="B2122" s="13"/>
      <c r="C2122" s="13"/>
      <c r="D2122" s="13"/>
      <c r="E2122" s="13"/>
      <c r="F2122" s="13"/>
      <c r="G2122" s="13"/>
      <c r="H2122" s="10"/>
      <c r="I2122" s="14"/>
      <c r="J2122" s="14"/>
      <c r="K2122" s="14"/>
      <c r="L2122" s="14"/>
      <c r="M2122" s="14"/>
      <c r="N2122" s="14"/>
      <c r="O2122" s="14"/>
    </row>
    <row r="2366" spans="1:15">
      <c r="A2366" s="13"/>
      <c r="B2366" s="13"/>
      <c r="C2366" s="13"/>
      <c r="D2366" s="13"/>
      <c r="E2366" s="13"/>
      <c r="F2366" s="13"/>
      <c r="G2366" s="13"/>
      <c r="H2366" s="10"/>
      <c r="I2366" s="14"/>
      <c r="J2366" s="14"/>
      <c r="K2366" s="14"/>
      <c r="L2366" s="14"/>
      <c r="M2366" s="14"/>
      <c r="N2366" s="14"/>
      <c r="O2366" s="14"/>
    </row>
    <row r="2610" spans="1:15">
      <c r="A2610" s="13"/>
      <c r="B2610" s="13"/>
      <c r="C2610" s="13"/>
      <c r="D2610" s="13"/>
      <c r="E2610" s="13"/>
      <c r="F2610" s="13"/>
      <c r="G2610" s="13"/>
      <c r="H2610" s="10"/>
      <c r="I2610" s="14"/>
      <c r="J2610" s="14"/>
      <c r="K2610" s="14"/>
      <c r="L2610" s="14"/>
      <c r="M2610" s="14"/>
      <c r="N2610" s="14"/>
      <c r="O2610" s="14"/>
    </row>
    <row r="2854" spans="1:15">
      <c r="A2854" s="13"/>
      <c r="B2854" s="13"/>
      <c r="C2854" s="13"/>
      <c r="D2854" s="13"/>
      <c r="E2854" s="13"/>
      <c r="F2854" s="13"/>
      <c r="G2854" s="13"/>
      <c r="H2854" s="10"/>
      <c r="I2854" s="14"/>
      <c r="J2854" s="14"/>
      <c r="K2854" s="14"/>
      <c r="L2854" s="14"/>
      <c r="M2854" s="14"/>
      <c r="N2854" s="14"/>
      <c r="O2854" s="14"/>
    </row>
    <row r="3098" spans="1:15">
      <c r="A3098" s="13"/>
      <c r="B3098" s="13"/>
      <c r="C3098" s="13"/>
      <c r="D3098" s="13"/>
      <c r="E3098" s="13"/>
      <c r="F3098" s="13"/>
      <c r="G3098" s="13"/>
      <c r="H3098" s="10"/>
      <c r="I3098" s="14"/>
      <c r="J3098" s="14"/>
      <c r="K3098" s="14"/>
      <c r="L3098" s="14"/>
      <c r="M3098" s="14"/>
      <c r="N3098" s="14"/>
      <c r="O3098" s="14"/>
    </row>
    <row r="3342" spans="1:15">
      <c r="A3342" s="13"/>
      <c r="B3342" s="13"/>
      <c r="C3342" s="13"/>
      <c r="D3342" s="13"/>
      <c r="E3342" s="13"/>
      <c r="F3342" s="13"/>
      <c r="G3342" s="13"/>
      <c r="H3342" s="10"/>
      <c r="I3342" s="14"/>
      <c r="J3342" s="14"/>
      <c r="K3342" s="14"/>
      <c r="L3342" s="14"/>
      <c r="M3342" s="14"/>
      <c r="N3342" s="14"/>
      <c r="O3342" s="14"/>
    </row>
    <row r="3585" spans="1:15">
      <c r="A3585" s="13"/>
      <c r="B3585" s="13"/>
      <c r="C3585" s="13"/>
      <c r="D3585" s="13"/>
      <c r="E3585" s="13"/>
      <c r="F3585" s="13"/>
      <c r="G3585" s="13"/>
      <c r="H3585" s="10"/>
      <c r="I3585" s="14"/>
      <c r="J3585" s="14"/>
      <c r="K3585" s="14"/>
      <c r="L3585" s="14"/>
      <c r="M3585" s="14"/>
      <c r="N3585" s="14"/>
      <c r="O3585" s="14"/>
    </row>
    <row r="3828" spans="1:15">
      <c r="A3828" s="13"/>
      <c r="B3828" s="13"/>
      <c r="C3828" s="13"/>
      <c r="D3828" s="13"/>
      <c r="E3828" s="13"/>
      <c r="F3828" s="13"/>
      <c r="G3828" s="13"/>
      <c r="H3828" s="10"/>
      <c r="I3828" s="14"/>
      <c r="J3828" s="14"/>
      <c r="K3828" s="14"/>
      <c r="L3828" s="14"/>
      <c r="M3828" s="14"/>
      <c r="N3828" s="14"/>
      <c r="O3828" s="14"/>
    </row>
    <row r="4070" spans="1:15">
      <c r="A4070" s="13"/>
      <c r="B4070" s="13"/>
      <c r="C4070" s="13"/>
      <c r="D4070" s="13"/>
      <c r="E4070" s="13"/>
      <c r="F4070" s="13"/>
      <c r="G4070" s="13"/>
      <c r="H4070" s="10"/>
      <c r="I4070" s="14"/>
      <c r="J4070" s="14"/>
      <c r="K4070" s="14"/>
      <c r="L4070" s="14"/>
      <c r="M4070" s="14"/>
      <c r="N4070" s="14"/>
      <c r="O4070" s="14"/>
    </row>
    <row r="4312" spans="1:15">
      <c r="A4312" s="13"/>
      <c r="B4312" s="13"/>
      <c r="C4312" s="13"/>
      <c r="D4312" s="13"/>
      <c r="E4312" s="13"/>
      <c r="F4312" s="13"/>
      <c r="G4312" s="13"/>
      <c r="H4312" s="10"/>
      <c r="I4312" s="14"/>
      <c r="J4312" s="14"/>
      <c r="K4312" s="14"/>
      <c r="L4312" s="14"/>
      <c r="M4312" s="14"/>
      <c r="N4312" s="14"/>
      <c r="O4312" s="14"/>
    </row>
    <row r="4554" spans="1:15">
      <c r="A4554" s="13"/>
      <c r="B4554" s="13"/>
      <c r="C4554" s="13"/>
      <c r="D4554" s="13"/>
      <c r="E4554" s="13"/>
      <c r="F4554" s="13"/>
      <c r="G4554" s="13"/>
      <c r="H4554" s="10"/>
      <c r="I4554" s="14"/>
      <c r="J4554" s="14"/>
      <c r="K4554" s="14"/>
      <c r="L4554" s="14"/>
      <c r="M4554" s="14"/>
      <c r="N4554" s="14"/>
      <c r="O4554" s="14"/>
    </row>
    <row r="4797" s="18" customFormat="1" spans="1:15">
      <c r="A4797" s="15"/>
      <c r="B4797" s="15"/>
      <c r="C4797" s="15"/>
      <c r="D4797" s="15"/>
      <c r="E4797" s="15"/>
      <c r="F4797" s="15"/>
      <c r="G4797" s="15"/>
      <c r="H4797" s="16"/>
      <c r="I4797" s="17"/>
      <c r="J4797" s="17"/>
      <c r="K4797" s="17"/>
      <c r="L4797" s="17"/>
      <c r="M4797" s="17"/>
      <c r="N4797" s="17"/>
      <c r="O4797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L18" sqref="L18"/>
    </sheetView>
  </sheetViews>
  <sheetFormatPr defaultColWidth="9.02654867256637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32</v>
      </c>
      <c r="B2" s="7" t="s">
        <v>33</v>
      </c>
      <c r="C2" s="7" t="s">
        <v>34</v>
      </c>
      <c r="D2" s="1">
        <v>2005</v>
      </c>
      <c r="E2" s="8">
        <v>-0.2394</v>
      </c>
      <c r="F2" s="8">
        <v>0.3002</v>
      </c>
      <c r="G2" s="9">
        <v>0.03</v>
      </c>
      <c r="H2" s="10">
        <f>(E2-G2)/F2</f>
        <v>-0.897401732178547</v>
      </c>
    </row>
    <row r="3" spans="1:8">
      <c r="A3" s="6"/>
      <c r="B3" s="7"/>
      <c r="C3" s="7"/>
      <c r="D3" s="1">
        <v>2006</v>
      </c>
      <c r="E3" s="11">
        <v>0.6476</v>
      </c>
      <c r="F3" s="11">
        <v>0.2777</v>
      </c>
      <c r="G3" s="9">
        <v>0.03</v>
      </c>
      <c r="H3" s="10">
        <f t="shared" ref="H3:H22" si="0">(E3-G3)/F3</f>
        <v>2.22398271516025</v>
      </c>
    </row>
    <row r="4" spans="1:8">
      <c r="A4" s="6"/>
      <c r="B4" s="7"/>
      <c r="C4" s="7"/>
      <c r="D4" s="1">
        <v>2007</v>
      </c>
      <c r="E4" s="11">
        <v>1.2347</v>
      </c>
      <c r="F4" s="11">
        <v>0.4228</v>
      </c>
      <c r="G4" s="9">
        <v>0.03</v>
      </c>
      <c r="H4" s="10">
        <f t="shared" si="0"/>
        <v>2.84933774834437</v>
      </c>
    </row>
    <row r="5" spans="1:8">
      <c r="A5" s="6"/>
      <c r="B5" s="7"/>
      <c r="C5" s="7"/>
      <c r="D5" s="1">
        <v>2008</v>
      </c>
      <c r="E5" s="11">
        <v>-0.6319</v>
      </c>
      <c r="F5" s="11">
        <v>0.5626</v>
      </c>
      <c r="G5" s="9">
        <v>0.03</v>
      </c>
      <c r="H5" s="10">
        <f t="shared" si="0"/>
        <v>-1.17650195520796</v>
      </c>
    </row>
    <row r="6" spans="1:8">
      <c r="A6" s="6"/>
      <c r="B6" s="7"/>
      <c r="C6" s="7"/>
      <c r="D6" s="1">
        <v>2009</v>
      </c>
      <c r="E6" s="11">
        <v>1.1556</v>
      </c>
      <c r="F6" s="11">
        <v>0.372</v>
      </c>
      <c r="G6" s="9">
        <v>0.03</v>
      </c>
      <c r="H6" s="10">
        <f t="shared" si="0"/>
        <v>3.0258064516129</v>
      </c>
    </row>
    <row r="7" spans="1:8">
      <c r="A7" s="6"/>
      <c r="B7" s="7"/>
      <c r="C7" s="7"/>
      <c r="D7" s="1">
        <v>2010</v>
      </c>
      <c r="E7" s="11">
        <v>0.4064</v>
      </c>
      <c r="F7" s="11">
        <v>0.3356</v>
      </c>
      <c r="G7" s="9">
        <v>0.03</v>
      </c>
      <c r="H7" s="10">
        <f t="shared" si="0"/>
        <v>1.12157330154946</v>
      </c>
    </row>
    <row r="8" spans="1:8">
      <c r="A8" s="6"/>
      <c r="B8" s="7"/>
      <c r="C8" s="7"/>
      <c r="D8" s="1">
        <v>2011</v>
      </c>
      <c r="E8" s="11">
        <v>-0.4026</v>
      </c>
      <c r="F8" s="11">
        <v>0.2584</v>
      </c>
      <c r="G8" s="9">
        <v>0.03</v>
      </c>
      <c r="H8" s="10">
        <f t="shared" si="0"/>
        <v>-1.67414860681115</v>
      </c>
    </row>
    <row r="9" spans="1:8">
      <c r="A9" s="6"/>
      <c r="B9" s="7"/>
      <c r="C9" s="7"/>
      <c r="D9" s="1">
        <v>2012</v>
      </c>
      <c r="E9" s="11">
        <v>-0.023</v>
      </c>
      <c r="F9" s="11">
        <v>0.255</v>
      </c>
      <c r="G9" s="9">
        <v>0.03</v>
      </c>
      <c r="H9" s="10">
        <f t="shared" si="0"/>
        <v>-0.207843137254902</v>
      </c>
    </row>
    <row r="10" spans="1:8">
      <c r="A10" s="6"/>
      <c r="B10" s="7"/>
      <c r="C10" s="7"/>
      <c r="D10" s="1">
        <v>2013</v>
      </c>
      <c r="E10" s="11">
        <v>0.4301</v>
      </c>
      <c r="F10" s="11">
        <v>0.2844</v>
      </c>
      <c r="G10" s="9">
        <v>0.03</v>
      </c>
      <c r="H10" s="10">
        <f t="shared" si="0"/>
        <v>1.40682137834037</v>
      </c>
    </row>
    <row r="11" spans="1:8">
      <c r="A11" s="6"/>
      <c r="B11" s="7"/>
      <c r="C11" s="7"/>
      <c r="D11" s="1">
        <v>2014</v>
      </c>
      <c r="E11" s="11">
        <v>0.2225</v>
      </c>
      <c r="F11" s="11">
        <v>0.2294</v>
      </c>
      <c r="G11" s="9">
        <v>0.03</v>
      </c>
      <c r="H11" s="10">
        <f t="shared" si="0"/>
        <v>0.839145597210113</v>
      </c>
    </row>
    <row r="12" spans="1:8">
      <c r="A12" s="6"/>
      <c r="B12" s="7"/>
      <c r="C12" s="7"/>
      <c r="D12" s="1">
        <v>2015</v>
      </c>
      <c r="E12" s="11">
        <v>0.6186</v>
      </c>
      <c r="F12" s="11">
        <v>0.4941</v>
      </c>
      <c r="G12" s="9">
        <v>0.03</v>
      </c>
      <c r="H12" s="10">
        <f t="shared" si="0"/>
        <v>1.19125683060109</v>
      </c>
    </row>
    <row r="13" spans="1:8">
      <c r="A13" s="6"/>
      <c r="B13" s="7"/>
      <c r="C13" s="7"/>
      <c r="D13" s="1">
        <v>2016</v>
      </c>
      <c r="E13" s="11">
        <v>-0.2327</v>
      </c>
      <c r="F13" s="11">
        <v>0.2894</v>
      </c>
      <c r="G13" s="9">
        <v>0.03</v>
      </c>
      <c r="H13" s="10">
        <f t="shared" si="0"/>
        <v>-0.907740152038701</v>
      </c>
    </row>
    <row r="14" spans="1:8">
      <c r="A14" s="6"/>
      <c r="B14" s="7"/>
      <c r="C14" s="7"/>
      <c r="D14" s="1">
        <v>2017</v>
      </c>
      <c r="E14" s="11">
        <v>0.1231</v>
      </c>
      <c r="F14" s="11">
        <v>0.1762</v>
      </c>
      <c r="G14" s="9">
        <v>0.03</v>
      </c>
      <c r="H14" s="10">
        <f t="shared" si="0"/>
        <v>0.528376844494892</v>
      </c>
    </row>
    <row r="15" spans="1:8">
      <c r="A15" s="6"/>
      <c r="B15" s="7"/>
      <c r="C15" s="7"/>
      <c r="D15" s="1">
        <v>2018</v>
      </c>
      <c r="E15" s="11">
        <v>-0.3603</v>
      </c>
      <c r="F15" s="11">
        <v>0.3114</v>
      </c>
      <c r="G15" s="9">
        <v>0.03</v>
      </c>
      <c r="H15" s="10">
        <f t="shared" si="0"/>
        <v>-1.25337186897881</v>
      </c>
    </row>
    <row r="16" spans="1:8">
      <c r="A16" s="6"/>
      <c r="B16" s="7"/>
      <c r="C16" s="7"/>
      <c r="D16" s="1">
        <v>2019</v>
      </c>
      <c r="E16" s="11">
        <v>0.6333</v>
      </c>
      <c r="F16" s="11">
        <v>0.3092</v>
      </c>
      <c r="G16" s="9">
        <v>0.03</v>
      </c>
      <c r="H16" s="10">
        <f t="shared" si="0"/>
        <v>1.95116429495472</v>
      </c>
    </row>
    <row r="17" spans="1:8">
      <c r="A17" s="6"/>
      <c r="B17" s="7"/>
      <c r="C17" s="7"/>
      <c r="D17" s="1">
        <v>2020</v>
      </c>
      <c r="E17" s="11">
        <v>0.2318</v>
      </c>
      <c r="F17" s="11">
        <v>0.3408</v>
      </c>
      <c r="G17" s="9">
        <v>0.03</v>
      </c>
      <c r="H17" s="10">
        <f t="shared" si="0"/>
        <v>0.592136150234742</v>
      </c>
    </row>
    <row r="18" spans="1:8">
      <c r="A18" s="6"/>
      <c r="B18" s="7"/>
      <c r="C18" s="7"/>
      <c r="D18" s="1">
        <v>2021</v>
      </c>
      <c r="E18" s="11">
        <v>0.0185</v>
      </c>
      <c r="F18" s="11">
        <v>0.2206</v>
      </c>
      <c r="G18" s="9">
        <v>0.03</v>
      </c>
      <c r="H18" s="10">
        <f t="shared" si="0"/>
        <v>-0.0521305530371713</v>
      </c>
    </row>
    <row r="19" spans="1:8">
      <c r="A19" s="6"/>
      <c r="B19" s="7"/>
      <c r="C19" s="7"/>
      <c r="D19" s="1">
        <v>2022</v>
      </c>
      <c r="E19" s="11">
        <v>-0.3549</v>
      </c>
      <c r="F19" s="11">
        <v>0.2756</v>
      </c>
      <c r="G19" s="9">
        <v>0.03</v>
      </c>
      <c r="H19" s="10">
        <f t="shared" si="0"/>
        <v>-1.39658925979681</v>
      </c>
    </row>
    <row r="20" spans="1:8">
      <c r="A20" s="6"/>
      <c r="B20" s="7"/>
      <c r="C20" s="7"/>
      <c r="D20" s="1">
        <v>2023</v>
      </c>
      <c r="E20" s="11">
        <v>0.0223</v>
      </c>
      <c r="F20" s="11">
        <v>0.2419</v>
      </c>
      <c r="G20" s="9">
        <v>0.03</v>
      </c>
      <c r="H20" s="10">
        <f t="shared" si="0"/>
        <v>-0.0318313352625052</v>
      </c>
    </row>
    <row r="21" spans="1:8">
      <c r="A21" s="6"/>
      <c r="B21" s="7"/>
      <c r="C21" s="7"/>
      <c r="D21" s="1">
        <v>2024</v>
      </c>
      <c r="E21" s="11">
        <v>0.1948</v>
      </c>
      <c r="F21" s="11">
        <v>0.3513</v>
      </c>
      <c r="G21" s="9">
        <v>0.03</v>
      </c>
      <c r="H21" s="10">
        <f t="shared" si="0"/>
        <v>0.469114716766297</v>
      </c>
    </row>
    <row r="22" spans="1:8">
      <c r="A22" s="6"/>
      <c r="B22" s="7"/>
      <c r="C22" s="7"/>
      <c r="D22" s="1">
        <v>2025</v>
      </c>
      <c r="E22" s="11">
        <v>0.3969</v>
      </c>
      <c r="F22" s="11">
        <v>0.2982</v>
      </c>
      <c r="G22" s="9">
        <v>0.03</v>
      </c>
      <c r="H22" s="10">
        <f t="shared" si="0"/>
        <v>1.23038229376258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L14" sqref="L14"/>
    </sheetView>
  </sheetViews>
  <sheetFormatPr defaultColWidth="9.02654867256637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9" width="9.02654867256637" style="3"/>
    <col min="10" max="10" width="9.53097345132743" style="3"/>
    <col min="11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35</v>
      </c>
      <c r="B2" s="7" t="s">
        <v>36</v>
      </c>
      <c r="C2" s="7" t="s">
        <v>37</v>
      </c>
      <c r="D2" s="1">
        <v>2005</v>
      </c>
      <c r="E2" s="8">
        <v>-0.0965</v>
      </c>
      <c r="F2" s="8">
        <v>0.2358</v>
      </c>
      <c r="G2" s="9">
        <v>0.03</v>
      </c>
      <c r="H2" s="10">
        <f>(E2-G2)/F2</f>
        <v>-0.536471586089907</v>
      </c>
    </row>
    <row r="3" spans="1:8">
      <c r="A3" s="6"/>
      <c r="B3" s="7"/>
      <c r="C3" s="7"/>
      <c r="D3" s="1">
        <v>2006</v>
      </c>
      <c r="E3" s="11">
        <v>0.8424</v>
      </c>
      <c r="F3" s="11">
        <v>0.2732</v>
      </c>
      <c r="G3" s="9">
        <v>0.03</v>
      </c>
      <c r="H3" s="10">
        <f t="shared" ref="H3:H22" si="0">(E3-G3)/F3</f>
        <v>2.97364568081991</v>
      </c>
    </row>
    <row r="4" spans="1:8">
      <c r="A4" s="6"/>
      <c r="B4" s="7"/>
      <c r="C4" s="7"/>
      <c r="D4" s="1">
        <v>2007</v>
      </c>
      <c r="E4" s="11">
        <v>1.2467</v>
      </c>
      <c r="F4" s="11">
        <v>0.4128</v>
      </c>
      <c r="G4" s="9">
        <v>0.03</v>
      </c>
      <c r="H4" s="10">
        <f t="shared" si="0"/>
        <v>2.94743217054264</v>
      </c>
    </row>
    <row r="5" spans="1:8">
      <c r="A5" s="6"/>
      <c r="B5" s="7"/>
      <c r="C5" s="7"/>
      <c r="D5" s="1">
        <v>2008</v>
      </c>
      <c r="E5" s="11">
        <v>-0.5438</v>
      </c>
      <c r="F5" s="11">
        <v>0.5431</v>
      </c>
      <c r="G5" s="9">
        <v>0.03</v>
      </c>
      <c r="H5" s="10">
        <f t="shared" si="0"/>
        <v>-1.05652734303075</v>
      </c>
    </row>
    <row r="6" spans="1:8">
      <c r="A6" s="6"/>
      <c r="B6" s="7"/>
      <c r="C6" s="7"/>
      <c r="D6" s="1">
        <v>2009</v>
      </c>
      <c r="E6" s="11">
        <v>1.1258</v>
      </c>
      <c r="F6" s="11">
        <v>0.3459</v>
      </c>
      <c r="G6" s="9">
        <v>0.03</v>
      </c>
      <c r="H6" s="10">
        <f t="shared" si="0"/>
        <v>3.16796762069962</v>
      </c>
    </row>
    <row r="7" spans="1:8">
      <c r="A7" s="6"/>
      <c r="B7" s="7"/>
      <c r="C7" s="7"/>
      <c r="D7" s="1">
        <v>2010</v>
      </c>
      <c r="E7" s="11">
        <v>0.0233</v>
      </c>
      <c r="F7" s="11">
        <v>0.3293</v>
      </c>
      <c r="G7" s="9">
        <v>0.03</v>
      </c>
      <c r="H7" s="10">
        <f t="shared" si="0"/>
        <v>-0.0203461888855147</v>
      </c>
    </row>
    <row r="8" spans="1:8">
      <c r="A8" s="6"/>
      <c r="B8" s="7"/>
      <c r="C8" s="7"/>
      <c r="D8" s="1">
        <v>2011</v>
      </c>
      <c r="E8" s="11">
        <v>-0.3392</v>
      </c>
      <c r="F8" s="11">
        <v>0.2514</v>
      </c>
      <c r="G8" s="9">
        <v>0.03</v>
      </c>
      <c r="H8" s="10">
        <f t="shared" si="0"/>
        <v>-1.46857597454256</v>
      </c>
    </row>
    <row r="9" spans="1:8">
      <c r="A9" s="6"/>
      <c r="B9" s="7"/>
      <c r="C9" s="7"/>
      <c r="D9" s="1">
        <v>2012</v>
      </c>
      <c r="E9" s="11">
        <v>-0.1584</v>
      </c>
      <c r="F9" s="11">
        <v>0.2437</v>
      </c>
      <c r="G9" s="9">
        <v>0.03</v>
      </c>
      <c r="H9" s="10">
        <f t="shared" si="0"/>
        <v>-0.773081657775954</v>
      </c>
    </row>
    <row r="10" spans="1:8">
      <c r="A10" s="6"/>
      <c r="B10" s="7"/>
      <c r="C10" s="7"/>
      <c r="D10" s="1">
        <v>2013</v>
      </c>
      <c r="E10" s="11">
        <v>0.4439</v>
      </c>
      <c r="F10" s="11">
        <v>0.3166</v>
      </c>
      <c r="G10" s="9">
        <v>0.03</v>
      </c>
      <c r="H10" s="10">
        <f t="shared" si="0"/>
        <v>1.30732785849653</v>
      </c>
    </row>
    <row r="11" spans="1:8">
      <c r="A11" s="6"/>
      <c r="B11" s="7"/>
      <c r="C11" s="7"/>
      <c r="D11" s="1">
        <v>2014</v>
      </c>
      <c r="E11" s="11">
        <v>0.3107</v>
      </c>
      <c r="F11" s="11">
        <v>0.223</v>
      </c>
      <c r="G11" s="9">
        <v>0.03</v>
      </c>
      <c r="H11" s="10">
        <f t="shared" si="0"/>
        <v>1.25874439461883</v>
      </c>
    </row>
    <row r="12" spans="1:8">
      <c r="A12" s="6"/>
      <c r="B12" s="7"/>
      <c r="C12" s="7"/>
      <c r="D12" s="1">
        <v>2015</v>
      </c>
      <c r="E12" s="11">
        <v>0.4353</v>
      </c>
      <c r="F12" s="11">
        <v>0.5134</v>
      </c>
      <c r="G12" s="9">
        <v>0.03</v>
      </c>
      <c r="H12" s="10">
        <f t="shared" si="0"/>
        <v>0.789442929489677</v>
      </c>
    </row>
    <row r="13" spans="1:8">
      <c r="A13" s="6"/>
      <c r="B13" s="7"/>
      <c r="C13" s="7"/>
      <c r="D13" s="1">
        <v>2016</v>
      </c>
      <c r="E13" s="11">
        <v>-0.11</v>
      </c>
      <c r="F13" s="11">
        <v>0.2847</v>
      </c>
      <c r="G13" s="9">
        <v>0.03</v>
      </c>
      <c r="H13" s="10">
        <f t="shared" si="0"/>
        <v>-0.491745697225149</v>
      </c>
    </row>
    <row r="14" spans="1:8">
      <c r="A14" s="6"/>
      <c r="B14" s="7"/>
      <c r="C14" s="7"/>
      <c r="D14" s="1">
        <v>2017</v>
      </c>
      <c r="E14" s="11">
        <v>0.2515</v>
      </c>
      <c r="F14" s="11">
        <v>0.1903</v>
      </c>
      <c r="G14" s="9">
        <v>0.03</v>
      </c>
      <c r="H14" s="10">
        <f t="shared" si="0"/>
        <v>1.16395165528113</v>
      </c>
    </row>
    <row r="15" spans="1:8">
      <c r="A15" s="6"/>
      <c r="B15" s="7"/>
      <c r="C15" s="7"/>
      <c r="D15" s="1">
        <v>2018</v>
      </c>
      <c r="E15" s="11">
        <v>-0.3867</v>
      </c>
      <c r="F15" s="11">
        <v>0.3161</v>
      </c>
      <c r="G15" s="9">
        <v>0.03</v>
      </c>
      <c r="H15" s="10">
        <f t="shared" si="0"/>
        <v>-1.31825371717811</v>
      </c>
    </row>
    <row r="16" spans="1:8">
      <c r="A16" s="6"/>
      <c r="B16" s="7"/>
      <c r="C16" s="7"/>
      <c r="D16" s="1">
        <v>2019</v>
      </c>
      <c r="E16" s="11">
        <v>0.3646</v>
      </c>
      <c r="F16" s="11">
        <v>0.3128</v>
      </c>
      <c r="G16" s="9">
        <v>0.03</v>
      </c>
      <c r="H16" s="10">
        <f t="shared" si="0"/>
        <v>1.06969309462916</v>
      </c>
    </row>
    <row r="17" spans="1:8">
      <c r="A17" s="6"/>
      <c r="B17" s="7"/>
      <c r="C17" s="7"/>
      <c r="D17" s="1">
        <v>2020</v>
      </c>
      <c r="E17" s="11">
        <v>-0.0754</v>
      </c>
      <c r="F17" s="11">
        <v>0.336</v>
      </c>
      <c r="G17" s="9">
        <v>0.03</v>
      </c>
      <c r="H17" s="10">
        <f t="shared" si="0"/>
        <v>-0.313690476190476</v>
      </c>
    </row>
    <row r="18" spans="1:8">
      <c r="A18" s="6"/>
      <c r="B18" s="7"/>
      <c r="C18" s="7"/>
      <c r="D18" s="1">
        <v>2021</v>
      </c>
      <c r="E18" s="11">
        <v>0.0356</v>
      </c>
      <c r="F18" s="11">
        <v>0.1992</v>
      </c>
      <c r="G18" s="9">
        <v>0.03</v>
      </c>
      <c r="H18" s="10">
        <f t="shared" si="0"/>
        <v>0.0281124497991968</v>
      </c>
    </row>
    <row r="19" spans="1:8">
      <c r="A19" s="6"/>
      <c r="B19" s="7"/>
      <c r="C19" s="7"/>
      <c r="D19" s="1">
        <v>2022</v>
      </c>
      <c r="E19" s="11">
        <v>-0.2268</v>
      </c>
      <c r="F19" s="11">
        <v>0.2389</v>
      </c>
      <c r="G19" s="9">
        <v>0.03</v>
      </c>
      <c r="H19" s="10">
        <f t="shared" si="0"/>
        <v>-1.07492674759314</v>
      </c>
    </row>
    <row r="20" spans="1:8">
      <c r="A20" s="6"/>
      <c r="B20" s="7"/>
      <c r="C20" s="7"/>
      <c r="D20" s="1">
        <v>2023</v>
      </c>
      <c r="E20" s="11">
        <v>0.1821</v>
      </c>
      <c r="F20" s="11">
        <v>0.2845</v>
      </c>
      <c r="G20" s="9">
        <v>0.03</v>
      </c>
      <c r="H20" s="10">
        <f t="shared" si="0"/>
        <v>0.534622144112478</v>
      </c>
    </row>
    <row r="21" spans="1:8">
      <c r="A21" s="6"/>
      <c r="B21" s="7"/>
      <c r="C21" s="7"/>
      <c r="D21" s="1">
        <v>2024</v>
      </c>
      <c r="E21" s="11">
        <v>0.2567</v>
      </c>
      <c r="F21" s="11">
        <v>0.3076</v>
      </c>
      <c r="G21" s="9">
        <v>0.03</v>
      </c>
      <c r="H21" s="10">
        <f t="shared" si="0"/>
        <v>0.736996098829649</v>
      </c>
    </row>
    <row r="22" spans="1:8">
      <c r="A22" s="6"/>
      <c r="B22" s="7"/>
      <c r="C22" s="7"/>
      <c r="D22" s="1">
        <v>2025</v>
      </c>
      <c r="E22" s="11">
        <v>0.7293</v>
      </c>
      <c r="F22" s="11">
        <v>0.3192</v>
      </c>
      <c r="G22" s="9">
        <v>0.03</v>
      </c>
      <c r="H22" s="10">
        <f t="shared" si="0"/>
        <v>2.19078947368421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topLeftCell="C1" workbookViewId="0">
      <selection activeCell="J16" sqref="J16"/>
    </sheetView>
  </sheetViews>
  <sheetFormatPr defaultColWidth="9.02654867256637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38</v>
      </c>
      <c r="B2" s="7" t="s">
        <v>39</v>
      </c>
      <c r="C2" s="7" t="s">
        <v>40</v>
      </c>
      <c r="D2" s="1">
        <v>2005</v>
      </c>
      <c r="E2" s="8">
        <v>-0.1255</v>
      </c>
      <c r="F2" s="8">
        <v>0.2083</v>
      </c>
      <c r="G2" s="9">
        <v>0.03</v>
      </c>
      <c r="H2" s="10">
        <f>(E2-G2)/F2</f>
        <v>-0.746519443110898</v>
      </c>
    </row>
    <row r="3" spans="1:8">
      <c r="A3" s="6"/>
      <c r="B3" s="7"/>
      <c r="C3" s="7"/>
      <c r="D3" s="1">
        <v>2006</v>
      </c>
      <c r="E3" s="11">
        <v>0.5058</v>
      </c>
      <c r="F3" s="11">
        <v>0.2282</v>
      </c>
      <c r="G3" s="9">
        <v>0.03</v>
      </c>
      <c r="H3" s="10">
        <f t="shared" ref="H3:H22" si="0">(E3-G3)/F3</f>
        <v>2.08501314636284</v>
      </c>
    </row>
    <row r="4" spans="1:8">
      <c r="A4" s="6"/>
      <c r="B4" s="7"/>
      <c r="C4" s="7"/>
      <c r="D4" s="1">
        <v>2007</v>
      </c>
      <c r="E4" s="11">
        <v>1.6959</v>
      </c>
      <c r="F4" s="11">
        <v>0.4182</v>
      </c>
      <c r="G4" s="9">
        <v>0.03</v>
      </c>
      <c r="H4" s="10">
        <f t="shared" si="0"/>
        <v>3.98350071736011</v>
      </c>
    </row>
    <row r="5" spans="1:8">
      <c r="A5" s="6"/>
      <c r="B5" s="7"/>
      <c r="C5" s="7"/>
      <c r="D5" s="1">
        <v>2008</v>
      </c>
      <c r="E5" s="11">
        <v>-0.5508</v>
      </c>
      <c r="F5" s="11">
        <v>0.4437</v>
      </c>
      <c r="G5" s="9">
        <v>0.03</v>
      </c>
      <c r="H5" s="10">
        <f t="shared" si="0"/>
        <v>-1.30899256254226</v>
      </c>
    </row>
    <row r="6" spans="1:8">
      <c r="A6" s="6"/>
      <c r="B6" s="7"/>
      <c r="C6" s="7"/>
      <c r="D6" s="1">
        <v>2009</v>
      </c>
      <c r="E6" s="11">
        <v>0.4631</v>
      </c>
      <c r="F6" s="11">
        <v>0.3008</v>
      </c>
      <c r="G6" s="9">
        <v>0.03</v>
      </c>
      <c r="H6" s="10">
        <f t="shared" si="0"/>
        <v>1.43982712765957</v>
      </c>
    </row>
    <row r="7" spans="1:8">
      <c r="A7" s="6"/>
      <c r="B7" s="7"/>
      <c r="C7" s="7"/>
      <c r="D7" s="1">
        <v>2010</v>
      </c>
      <c r="E7" s="11">
        <v>-0.1808</v>
      </c>
      <c r="F7" s="11">
        <v>0.218</v>
      </c>
      <c r="G7" s="9">
        <v>0.03</v>
      </c>
      <c r="H7" s="10">
        <f t="shared" si="0"/>
        <v>-0.96697247706422</v>
      </c>
    </row>
    <row r="8" spans="1:8">
      <c r="A8" s="6"/>
      <c r="B8" s="7"/>
      <c r="C8" s="7"/>
      <c r="D8" s="1">
        <v>2011</v>
      </c>
      <c r="E8" s="11">
        <v>-0.2211</v>
      </c>
      <c r="F8" s="11">
        <v>0.2035</v>
      </c>
      <c r="G8" s="9">
        <v>0.03</v>
      </c>
      <c r="H8" s="10">
        <f t="shared" si="0"/>
        <v>-1.23390663390663</v>
      </c>
    </row>
    <row r="9" spans="1:8">
      <c r="A9" s="6"/>
      <c r="B9" s="7"/>
      <c r="C9" s="7"/>
      <c r="D9" s="1">
        <v>2012</v>
      </c>
      <c r="E9" s="11">
        <v>0.0141</v>
      </c>
      <c r="F9" s="11">
        <v>0.1647</v>
      </c>
      <c r="G9" s="9">
        <v>0.03</v>
      </c>
      <c r="H9" s="10">
        <f t="shared" si="0"/>
        <v>-0.0965391621129326</v>
      </c>
    </row>
    <row r="10" spans="1:8">
      <c r="A10" s="6"/>
      <c r="B10" s="7"/>
      <c r="C10" s="7"/>
      <c r="D10" s="1">
        <v>2013</v>
      </c>
      <c r="E10" s="11">
        <v>-0.0049</v>
      </c>
      <c r="F10" s="11">
        <v>0.1937</v>
      </c>
      <c r="G10" s="9">
        <v>0.03</v>
      </c>
      <c r="H10" s="10">
        <f t="shared" si="0"/>
        <v>-0.180175529168818</v>
      </c>
    </row>
    <row r="11" spans="1:8">
      <c r="A11" s="6"/>
      <c r="B11" s="7"/>
      <c r="C11" s="7"/>
      <c r="D11" s="1">
        <v>2014</v>
      </c>
      <c r="E11" s="11">
        <v>0.7467</v>
      </c>
      <c r="F11" s="11">
        <v>0.1971</v>
      </c>
      <c r="G11" s="9">
        <v>0.03</v>
      </c>
      <c r="H11" s="10">
        <f t="shared" si="0"/>
        <v>3.63622526636225</v>
      </c>
    </row>
    <row r="12" spans="1:8">
      <c r="A12" s="6"/>
      <c r="B12" s="7"/>
      <c r="C12" s="7"/>
      <c r="D12" s="1">
        <v>2015</v>
      </c>
      <c r="E12" s="11">
        <v>0.0605</v>
      </c>
      <c r="F12" s="11">
        <v>0.4415</v>
      </c>
      <c r="G12" s="9">
        <v>0.03</v>
      </c>
      <c r="H12" s="10">
        <f t="shared" si="0"/>
        <v>0.0690826727066818</v>
      </c>
    </row>
    <row r="13" spans="1:8">
      <c r="A13" s="6"/>
      <c r="B13" s="7"/>
      <c r="C13" s="7"/>
      <c r="D13" s="1">
        <v>2016</v>
      </c>
      <c r="E13" s="11">
        <v>-0.1956</v>
      </c>
      <c r="F13" s="11">
        <v>0.2135</v>
      </c>
      <c r="G13" s="9">
        <v>0.03</v>
      </c>
      <c r="H13" s="10">
        <f t="shared" si="0"/>
        <v>-1.05667447306792</v>
      </c>
    </row>
    <row r="14" spans="1:8">
      <c r="A14" s="6"/>
      <c r="B14" s="7"/>
      <c r="C14" s="7"/>
      <c r="D14" s="1">
        <v>2017</v>
      </c>
      <c r="E14" s="11">
        <v>-0.0167</v>
      </c>
      <c r="F14" s="11">
        <v>0.087</v>
      </c>
      <c r="G14" s="9">
        <v>0.03</v>
      </c>
      <c r="H14" s="10">
        <f t="shared" si="0"/>
        <v>-0.536781609195402</v>
      </c>
    </row>
    <row r="15" spans="1:8">
      <c r="A15" s="6"/>
      <c r="B15" s="7"/>
      <c r="C15" s="7"/>
      <c r="D15" s="1">
        <v>2018</v>
      </c>
      <c r="E15" s="11">
        <v>-0.1266</v>
      </c>
      <c r="F15" s="11">
        <v>0.1606</v>
      </c>
      <c r="G15" s="9">
        <v>0.03</v>
      </c>
      <c r="H15" s="10">
        <f t="shared" si="0"/>
        <v>-0.975093399750934</v>
      </c>
    </row>
    <row r="16" spans="1:8">
      <c r="A16" s="6"/>
      <c r="B16" s="7"/>
      <c r="C16" s="7"/>
      <c r="D16" s="1">
        <v>2019</v>
      </c>
      <c r="E16" s="11">
        <v>0.0277</v>
      </c>
      <c r="F16" s="11">
        <v>0.1396</v>
      </c>
      <c r="G16" s="9">
        <v>0.03</v>
      </c>
      <c r="H16" s="10">
        <f t="shared" si="0"/>
        <v>-0.0164756446991404</v>
      </c>
    </row>
    <row r="17" spans="1:8">
      <c r="A17" s="6"/>
      <c r="B17" s="7"/>
      <c r="C17" s="7"/>
      <c r="D17" s="1">
        <v>2020</v>
      </c>
      <c r="E17" s="11">
        <v>-0.0324</v>
      </c>
      <c r="F17" s="11">
        <v>0.1713</v>
      </c>
      <c r="G17" s="9">
        <v>0.03</v>
      </c>
      <c r="H17" s="10">
        <f t="shared" si="0"/>
        <v>-0.364273204903678</v>
      </c>
    </row>
    <row r="18" spans="1:8">
      <c r="A18" s="6"/>
      <c r="B18" s="7"/>
      <c r="C18" s="7"/>
      <c r="D18" s="1">
        <v>2021</v>
      </c>
      <c r="E18" s="11">
        <v>0.3442</v>
      </c>
      <c r="F18" s="11">
        <v>0.2486</v>
      </c>
      <c r="G18" s="9">
        <v>0.03</v>
      </c>
      <c r="H18" s="10">
        <f t="shared" si="0"/>
        <v>1.26387771520515</v>
      </c>
    </row>
    <row r="19" spans="1:8">
      <c r="A19" s="6"/>
      <c r="B19" s="7"/>
      <c r="C19" s="7"/>
      <c r="D19" s="1">
        <v>2022</v>
      </c>
      <c r="E19" s="11">
        <v>-0.1492</v>
      </c>
      <c r="F19" s="11">
        <v>0.2344</v>
      </c>
      <c r="G19" s="9">
        <v>0.03</v>
      </c>
      <c r="H19" s="10">
        <f t="shared" si="0"/>
        <v>-0.764505119453925</v>
      </c>
    </row>
    <row r="20" spans="1:8">
      <c r="A20" s="6"/>
      <c r="B20" s="7"/>
      <c r="C20" s="7"/>
      <c r="D20" s="1">
        <v>2023</v>
      </c>
      <c r="E20" s="11">
        <v>0.0187</v>
      </c>
      <c r="F20" s="11">
        <v>0.1232</v>
      </c>
      <c r="G20" s="9">
        <v>0.03</v>
      </c>
      <c r="H20" s="10">
        <f t="shared" si="0"/>
        <v>-0.0917207792207792</v>
      </c>
    </row>
    <row r="21" spans="1:8">
      <c r="A21" s="6"/>
      <c r="B21" s="7"/>
      <c r="C21" s="7"/>
      <c r="D21" s="1">
        <v>2024</v>
      </c>
      <c r="E21" s="11">
        <v>0.153</v>
      </c>
      <c r="F21" s="11">
        <v>0.1928</v>
      </c>
      <c r="G21" s="9">
        <v>0.03</v>
      </c>
      <c r="H21" s="10">
        <f t="shared" si="0"/>
        <v>0.637966804979253</v>
      </c>
    </row>
    <row r="22" spans="1:8">
      <c r="A22" s="6"/>
      <c r="B22" s="7"/>
      <c r="C22" s="7"/>
      <c r="D22" s="1">
        <v>2025</v>
      </c>
      <c r="E22" s="11">
        <v>-0.0288</v>
      </c>
      <c r="F22" s="11">
        <v>0.1204</v>
      </c>
      <c r="G22" s="9">
        <v>0.03</v>
      </c>
      <c r="H22" s="10">
        <f t="shared" si="0"/>
        <v>-0.488372093023256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800能源</vt:lpstr>
      <vt:lpstr>800材料</vt:lpstr>
      <vt:lpstr>800工业</vt:lpstr>
      <vt:lpstr>800可选</vt:lpstr>
      <vt:lpstr>800消费</vt:lpstr>
      <vt:lpstr>800医药</vt:lpstr>
      <vt:lpstr>800金融</vt:lpstr>
      <vt:lpstr>800地产</vt:lpstr>
      <vt:lpstr>800信息</vt:lpstr>
      <vt:lpstr>800通信</vt:lpstr>
      <vt:lpstr>800公用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2025-12-30T13:14:00Z</dcterms:created>
  <dcterms:modified xsi:type="dcterms:W3CDTF">2026-01-05T05:06:15Z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4530F569CE7540EB8D8939493626F88E_12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