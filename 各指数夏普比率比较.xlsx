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18" firstSheet="2" activeTab="7"/>
  </bookViews>
  <sheets>
    <sheet name="宽基系列" sheetId="1" r:id="rId1"/>
    <sheet name="A系列" sheetId="2" r:id="rId2"/>
    <sheet name="科创板系列" sheetId="6" r:id="rId3"/>
    <sheet name="创业板系列" sheetId="8" r:id="rId4"/>
    <sheet name="行业系列" sheetId="7" r:id="rId5"/>
    <sheet name="现金流系列" sheetId="5" r:id="rId6"/>
    <sheet name="红利系列" sheetId="3" r:id="rId7"/>
    <sheet name="红利低波系列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<sst xmlns="http://schemas.openxmlformats.org/spreadsheetml/2006/main" count="82" uniqueCount="54">
  <si>
    <t>年份</t>
  </si>
  <si>
    <t>指数夏普比率</t>
  </si>
  <si>
    <t>最大值</t>
  </si>
  <si>
    <t>沪深300</t>
  </si>
  <si>
    <t>中证500</t>
  </si>
  <si>
    <t>中证1000</t>
  </si>
  <si>
    <t>中证2000</t>
  </si>
  <si>
    <t>平均值</t>
  </si>
  <si>
    <t>2014-2025平均值</t>
  </si>
  <si>
    <t>中证A50</t>
  </si>
  <si>
    <t>中证A100</t>
  </si>
  <si>
    <t>中证A500</t>
  </si>
  <si>
    <t>2006-2025年平均值</t>
  </si>
  <si>
    <t>科创50</t>
  </si>
  <si>
    <t>科创100</t>
  </si>
  <si>
    <t>科创200</t>
  </si>
  <si>
    <t>科创综指</t>
  </si>
  <si>
    <t>2023-2025年平均值</t>
  </si>
  <si>
    <t>创业板50</t>
  </si>
  <si>
    <t>创业板指</t>
  </si>
  <si>
    <t>创业200</t>
  </si>
  <si>
    <t>创业板综</t>
  </si>
  <si>
    <t>2013-2025年平均值</t>
  </si>
  <si>
    <t>800能源</t>
  </si>
  <si>
    <t>800材料</t>
  </si>
  <si>
    <t>800工业</t>
  </si>
  <si>
    <t>800可选</t>
  </si>
  <si>
    <t>800消费</t>
  </si>
  <si>
    <t>800医药</t>
  </si>
  <si>
    <t>800金融</t>
  </si>
  <si>
    <t>800地产</t>
  </si>
  <si>
    <t>800信息</t>
  </si>
  <si>
    <t>800通信</t>
  </si>
  <si>
    <t>800公用</t>
  </si>
  <si>
    <t>--</t>
  </si>
  <si>
    <t>中证现金流</t>
  </si>
  <si>
    <t>300现金流</t>
  </si>
  <si>
    <t>500现金流</t>
  </si>
  <si>
    <t>1000现金流</t>
  </si>
  <si>
    <t>A500现金流</t>
  </si>
  <si>
    <t>中证红利</t>
  </si>
  <si>
    <t>红利200</t>
  </si>
  <si>
    <t>300红利</t>
  </si>
  <si>
    <t>500红利</t>
  </si>
  <si>
    <t>1000红利</t>
  </si>
  <si>
    <t>A500红利</t>
  </si>
  <si>
    <t>全部年份平均值</t>
  </si>
  <si>
    <t>红利低波</t>
  </si>
  <si>
    <t>300红利低波</t>
  </si>
  <si>
    <t>500红利低波</t>
  </si>
  <si>
    <t>1000红利低波</t>
  </si>
  <si>
    <t>红利低波100</t>
  </si>
  <si>
    <t>A500红利低波</t>
  </si>
  <si>
    <t>2014-2025年平均值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</si>
</sst>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3" fillId="0" borderId="0" xfId="0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I12" sqref="I12"/>
    </sheetView>
  </sheetViews>
  <sheetFormatPr defaultColWidth="9" defaultRowHeight="13.5" outlineLevelCol="5"/>
  <cols>
    <col min="1" max="1" width="17.1327433628319" style="1" customWidth="1"/>
    <col min="2" max="4" width="12.7964601769912" style="3"/>
    <col min="5" max="5" width="9" style="1"/>
  </cols>
  <sheetData>
    <row r="1" spans="1:6">
      <c r="A1" s="1" t="s">
        <v>0</v>
      </c>
      <c r="B1" s="3" t="s">
        <v>1</v>
      </c>
      <c r="F1" s="1" t="s">
        <v>2</v>
      </c>
    </row>
    <row r="2" spans="1:6">
      <c r="B2" s="3" t="s">
        <v>3</v>
      </c>
      <c r="C2" s="3" t="s">
        <v>4</v>
      </c>
      <c r="D2" s="3" t="s">
        <v>5</v>
      </c>
      <c r="E2" s="1" t="s">
        <v>6</v>
      </c>
      <c r="F2" s="1"/>
    </row>
    <row r="3" spans="1:6">
      <c r="A3" s="1">
        <v>2005</v>
      </c>
      <c r="B3" s="7">
        <v>-0.515</v>
      </c>
      <c r="C3" s="3">
        <v>-0.668</v>
      </c>
      <c r="D3" s="3">
        <v>-0.622</v>
      </c>
      <c r="F3">
        <f>MAX(B3:E3)</f>
        <v>-0.515</v>
      </c>
    </row>
    <row r="4" spans="1:6">
      <c r="A4" s="1">
        <v>2006</v>
      </c>
      <c r="B4" s="7">
        <v>5.414</v>
      </c>
      <c r="C4" s="3">
        <v>3.968</v>
      </c>
      <c r="D4" s="3">
        <v>3.022</v>
      </c>
      <c r="F4">
        <f t="shared" ref="F4:F23" si="0">MAX(B4:E4)</f>
        <v>5.414</v>
      </c>
    </row>
    <row r="5" spans="1:6">
      <c r="A5" s="1">
        <v>2007</v>
      </c>
      <c r="B5" s="3">
        <v>4.355</v>
      </c>
      <c r="C5" s="3">
        <v>4.41</v>
      </c>
      <c r="D5" s="7">
        <v>4.981</v>
      </c>
      <c r="F5">
        <f t="shared" si="0"/>
        <v>4.981</v>
      </c>
    </row>
    <row r="6" spans="1:6">
      <c r="A6" s="1">
        <v>2008</v>
      </c>
      <c r="B6" s="3">
        <v>-1.436</v>
      </c>
      <c r="C6" s="3">
        <v>-1.17</v>
      </c>
      <c r="D6" s="7">
        <v>-1.141</v>
      </c>
      <c r="F6">
        <f t="shared" si="0"/>
        <v>-1.141</v>
      </c>
    </row>
    <row r="7" spans="1:6">
      <c r="A7" s="1">
        <v>2009</v>
      </c>
      <c r="B7" s="3">
        <v>2.916</v>
      </c>
      <c r="C7" s="3">
        <v>3.629</v>
      </c>
      <c r="D7" s="7">
        <v>3.848</v>
      </c>
      <c r="F7">
        <f t="shared" si="0"/>
        <v>3.848</v>
      </c>
    </row>
    <row r="8" spans="1:6">
      <c r="A8" s="1">
        <v>2010</v>
      </c>
      <c r="B8" s="3">
        <v>-0.626</v>
      </c>
      <c r="C8" s="3">
        <v>0.249</v>
      </c>
      <c r="D8" s="7">
        <v>0.501</v>
      </c>
      <c r="F8">
        <f t="shared" si="0"/>
        <v>0.501</v>
      </c>
    </row>
    <row r="9" spans="1:6">
      <c r="A9" s="1">
        <v>2011</v>
      </c>
      <c r="B9" s="7">
        <v>-1.379</v>
      </c>
      <c r="C9" s="3">
        <v>-1.535</v>
      </c>
      <c r="D9" s="3">
        <v>-1.44</v>
      </c>
      <c r="F9">
        <f t="shared" si="0"/>
        <v>-1.379</v>
      </c>
    </row>
    <row r="10" spans="1:6">
      <c r="A10" s="1">
        <v>2012</v>
      </c>
      <c r="B10" s="7">
        <v>0.229</v>
      </c>
      <c r="C10" s="3">
        <v>-0.113</v>
      </c>
      <c r="D10" s="3">
        <v>-0.174</v>
      </c>
      <c r="F10">
        <f t="shared" si="0"/>
        <v>0.229</v>
      </c>
    </row>
    <row r="11" spans="1:6">
      <c r="A11" s="1">
        <v>2013</v>
      </c>
      <c r="B11" s="3">
        <v>-0.491</v>
      </c>
      <c r="C11" s="3">
        <v>0.617</v>
      </c>
      <c r="D11" s="7">
        <v>1.22</v>
      </c>
      <c r="F11">
        <f t="shared" si="0"/>
        <v>1.22</v>
      </c>
    </row>
    <row r="12" spans="1:6">
      <c r="A12" s="1">
        <v>2014</v>
      </c>
      <c r="B12" s="7">
        <v>2.568</v>
      </c>
      <c r="C12" s="3">
        <v>1.85</v>
      </c>
      <c r="D12" s="3">
        <v>1.494</v>
      </c>
      <c r="E12" s="1">
        <v>2.324</v>
      </c>
      <c r="F12">
        <f t="shared" si="0"/>
        <v>2.568</v>
      </c>
    </row>
    <row r="13" spans="1:6">
      <c r="A13" s="1">
        <v>2015</v>
      </c>
      <c r="B13" s="3">
        <v>0.066</v>
      </c>
      <c r="C13" s="3">
        <v>0.901</v>
      </c>
      <c r="D13" s="3">
        <v>1.582</v>
      </c>
      <c r="E13" s="2">
        <v>2.374</v>
      </c>
      <c r="F13">
        <f t="shared" si="0"/>
        <v>2.374</v>
      </c>
    </row>
    <row r="14" spans="1:6">
      <c r="A14" s="1">
        <v>2016</v>
      </c>
      <c r="B14" s="3">
        <v>-0.681</v>
      </c>
      <c r="C14" s="3">
        <v>-0.715</v>
      </c>
      <c r="D14" s="3">
        <v>-0.724</v>
      </c>
      <c r="E14" s="2">
        <v>-0.341</v>
      </c>
      <c r="F14">
        <f t="shared" si="0"/>
        <v>-0.341</v>
      </c>
    </row>
    <row r="15" spans="1:6">
      <c r="A15" s="1">
        <v>2017</v>
      </c>
      <c r="B15" s="7">
        <v>1.884</v>
      </c>
      <c r="C15" s="3">
        <v>-0.219</v>
      </c>
      <c r="D15" s="3">
        <v>-1.256</v>
      </c>
      <c r="E15" s="1">
        <v>-1.564</v>
      </c>
      <c r="F15">
        <f t="shared" si="0"/>
        <v>1.884</v>
      </c>
    </row>
    <row r="16" spans="1:6">
      <c r="A16" s="1">
        <v>2018</v>
      </c>
      <c r="B16" s="7">
        <v>-1.343</v>
      </c>
      <c r="C16" s="3">
        <v>-1.52</v>
      </c>
      <c r="D16" s="3">
        <v>-1.612</v>
      </c>
      <c r="E16" s="1">
        <v>-1.433</v>
      </c>
      <c r="F16">
        <f t="shared" si="0"/>
        <v>-1.343</v>
      </c>
    </row>
    <row r="17" spans="1:6">
      <c r="A17" s="1">
        <v>2019</v>
      </c>
      <c r="B17" s="7">
        <v>1.698</v>
      </c>
      <c r="C17" s="3">
        <v>1.013</v>
      </c>
      <c r="D17" s="3">
        <v>0.918</v>
      </c>
      <c r="E17" s="1">
        <v>0.754</v>
      </c>
      <c r="F17">
        <f t="shared" si="0"/>
        <v>1.698</v>
      </c>
    </row>
    <row r="18" spans="1:6">
      <c r="A18" s="1">
        <v>2020</v>
      </c>
      <c r="B18" s="7">
        <v>1.076</v>
      </c>
      <c r="C18" s="3">
        <v>0.703</v>
      </c>
      <c r="D18" s="3">
        <v>0.603</v>
      </c>
      <c r="E18" s="1">
        <v>0.461</v>
      </c>
      <c r="F18">
        <f t="shared" si="0"/>
        <v>1.076</v>
      </c>
    </row>
    <row r="19" spans="1:6">
      <c r="A19" s="1">
        <v>2021</v>
      </c>
      <c r="B19" s="3">
        <v>-0.448</v>
      </c>
      <c r="C19" s="3">
        <v>0.831</v>
      </c>
      <c r="D19" s="3">
        <v>0.935</v>
      </c>
      <c r="E19" s="2">
        <v>1.197</v>
      </c>
      <c r="F19">
        <f t="shared" si="0"/>
        <v>1.197</v>
      </c>
    </row>
    <row r="20" spans="1:6">
      <c r="A20" s="1">
        <v>2022</v>
      </c>
      <c r="B20" s="3">
        <v>-1.228</v>
      </c>
      <c r="C20" s="3">
        <v>-1.078</v>
      </c>
      <c r="D20" s="3">
        <v>-0.983</v>
      </c>
      <c r="E20" s="2">
        <v>-0.678</v>
      </c>
      <c r="F20">
        <f t="shared" si="0"/>
        <v>-0.678</v>
      </c>
    </row>
    <row r="21" spans="1:6">
      <c r="A21" s="1">
        <v>2023</v>
      </c>
      <c r="B21" s="3">
        <v>-1.086</v>
      </c>
      <c r="C21" s="3">
        <v>-0.813</v>
      </c>
      <c r="D21" s="3">
        <v>-0.631</v>
      </c>
      <c r="E21" s="2">
        <v>0.159</v>
      </c>
      <c r="F21">
        <f t="shared" si="0"/>
        <v>0.159</v>
      </c>
    </row>
    <row r="22" spans="1:6">
      <c r="A22" s="1">
        <v>2024</v>
      </c>
      <c r="B22" s="7">
        <v>0.562</v>
      </c>
      <c r="C22" s="3">
        <v>0.087</v>
      </c>
      <c r="D22" s="3">
        <v>-0.055</v>
      </c>
      <c r="E22" s="1">
        <v>-0.134</v>
      </c>
      <c r="F22">
        <f t="shared" si="0"/>
        <v>0.562</v>
      </c>
    </row>
    <row r="23" spans="1:6">
      <c r="A23" s="1">
        <v>2025</v>
      </c>
      <c r="B23" s="3">
        <v>0.989</v>
      </c>
      <c r="C23" s="7">
        <v>1.39</v>
      </c>
      <c r="D23" s="3">
        <v>1.117</v>
      </c>
      <c r="E23" s="1">
        <v>1.335</v>
      </c>
      <c r="F23">
        <f t="shared" si="0"/>
        <v>1.39</v>
      </c>
    </row>
    <row r="25" spans="1:6">
      <c r="A25" s="1" t="s">
        <v>7</v>
      </c>
      <c r="B25" s="7">
        <f>SUM(B3:B23)/21</f>
        <v>0.596380952380952</v>
      </c>
      <c r="C25" s="3">
        <f>SUM(C3:C23)/21</f>
        <v>0.562714285714286</v>
      </c>
      <c r="D25" s="3">
        <f>SUM(D3:D23)/21</f>
        <v>0.551571428571429</v>
      </c>
    </row>
    <row r="27" spans="1:6">
      <c r="A27" s="1" t="s">
        <v>8</v>
      </c>
      <c r="B27" s="3">
        <f>SUM(B12:B23)/12</f>
        <v>0.338083333333333</v>
      </c>
      <c r="C27" s="3">
        <f>SUM(C12:C23)/12</f>
        <v>0.2025</v>
      </c>
      <c r="D27" s="3">
        <f>SUM(D12:D23)/12</f>
        <v>0.115666666666667</v>
      </c>
      <c r="E27" s="4">
        <f>SUM(E12:E23)/12</f>
        <v>0.371166666666667</v>
      </c>
    </row>
  </sheetData>
  <mergeCells count="3">
    <mergeCell ref="B1:E1"/>
    <mergeCell ref="A1:A2"/>
    <mergeCell ref="F1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D26" sqref="D26"/>
    </sheetView>
  </sheetViews>
  <sheetFormatPr defaultColWidth="9" defaultRowHeight="13.5" outlineLevelCol="4"/>
  <cols>
    <col min="1" max="1" width="20.4513274336283" style="1" customWidth="1"/>
    <col min="2" max="4" width="12.7964601769912" style="3"/>
  </cols>
  <sheetData>
    <row r="1" spans="1:5">
      <c r="A1" s="1" t="s">
        <v>0</v>
      </c>
      <c r="B1" s="3" t="s">
        <v>1</v>
      </c>
      <c r="E1" s="1" t="s">
        <v>2</v>
      </c>
    </row>
    <row r="2" spans="1:5">
      <c r="B2" s="3" t="s">
        <v>9</v>
      </c>
      <c r="C2" s="3" t="s">
        <v>10</v>
      </c>
      <c r="D2" s="3" t="s">
        <v>11</v>
      </c>
      <c r="E2" s="1"/>
    </row>
    <row r="3" spans="1:5">
      <c r="A3" s="1">
        <v>2005</v>
      </c>
      <c r="B3" s="7"/>
      <c r="D3" s="7">
        <v>-0.606</v>
      </c>
      <c r="E3">
        <f>MAX(B3:D3)</f>
        <v>-0.606</v>
      </c>
    </row>
    <row r="4" spans="1:5">
      <c r="A4" s="1">
        <v>2006</v>
      </c>
      <c r="B4" s="7"/>
      <c r="C4" s="7">
        <v>5.794</v>
      </c>
      <c r="D4" s="3">
        <v>5.211</v>
      </c>
      <c r="E4">
        <f t="shared" ref="E4:E23" si="0">MAX(B4:D4)</f>
        <v>5.794</v>
      </c>
    </row>
    <row r="5" spans="1:5">
      <c r="A5" s="1">
        <v>2007</v>
      </c>
      <c r="C5" s="3">
        <v>3.974</v>
      </c>
      <c r="D5" s="7">
        <v>4.41</v>
      </c>
      <c r="E5">
        <f t="shared" si="0"/>
        <v>4.41</v>
      </c>
    </row>
    <row r="6" spans="1:5">
      <c r="A6" s="1">
        <v>2008</v>
      </c>
      <c r="C6" s="3">
        <v>-1.458</v>
      </c>
      <c r="D6" s="7">
        <v>-1.412</v>
      </c>
      <c r="E6">
        <f t="shared" si="0"/>
        <v>-1.412</v>
      </c>
    </row>
    <row r="7" spans="1:5">
      <c r="A7" s="1">
        <v>2009</v>
      </c>
      <c r="C7" s="3">
        <v>2.659</v>
      </c>
      <c r="D7" s="7">
        <v>2.998</v>
      </c>
      <c r="E7">
        <f t="shared" si="0"/>
        <v>2.998</v>
      </c>
    </row>
    <row r="8" spans="1:5">
      <c r="A8" s="1">
        <v>2010</v>
      </c>
      <c r="C8" s="3">
        <v>-0.901</v>
      </c>
      <c r="D8" s="7">
        <v>-0.446</v>
      </c>
      <c r="E8">
        <f t="shared" si="0"/>
        <v>-0.446</v>
      </c>
    </row>
    <row r="9" spans="1:5">
      <c r="A9" s="1">
        <v>2011</v>
      </c>
      <c r="B9" s="7"/>
      <c r="C9" s="7">
        <v>-1.21</v>
      </c>
      <c r="D9" s="3">
        <v>-1.443</v>
      </c>
      <c r="E9">
        <f t="shared" si="0"/>
        <v>-1.21</v>
      </c>
    </row>
    <row r="10" spans="1:5">
      <c r="A10" s="1">
        <v>2012</v>
      </c>
      <c r="B10" s="7"/>
      <c r="C10" s="7">
        <v>0.41</v>
      </c>
      <c r="D10" s="3">
        <v>0.143</v>
      </c>
      <c r="E10">
        <f t="shared" si="0"/>
        <v>0.41</v>
      </c>
    </row>
    <row r="11" spans="1:5">
      <c r="A11" s="1">
        <v>2013</v>
      </c>
      <c r="C11" s="3">
        <v>-0.714</v>
      </c>
      <c r="D11" s="7">
        <v>-0.148</v>
      </c>
      <c r="E11">
        <f t="shared" si="0"/>
        <v>-0.148</v>
      </c>
    </row>
    <row r="12" spans="1:5">
      <c r="A12" s="1">
        <v>2014</v>
      </c>
      <c r="B12" s="7"/>
      <c r="C12" s="7">
        <v>2.73</v>
      </c>
      <c r="D12" s="3">
        <v>2.354</v>
      </c>
      <c r="E12">
        <f t="shared" si="0"/>
        <v>2.73</v>
      </c>
    </row>
    <row r="13" spans="1:5">
      <c r="A13" s="1">
        <v>2015</v>
      </c>
      <c r="B13" s="16">
        <v>0.037</v>
      </c>
      <c r="C13" s="3">
        <v>-0.116</v>
      </c>
      <c r="D13" s="7">
        <v>0.331</v>
      </c>
      <c r="E13">
        <f t="shared" si="0"/>
        <v>0.331</v>
      </c>
    </row>
    <row r="14" spans="1:5">
      <c r="A14" s="1">
        <v>2016</v>
      </c>
      <c r="B14" s="17">
        <v>-0.46</v>
      </c>
      <c r="C14" s="3">
        <v>-0.559</v>
      </c>
      <c r="D14" s="3">
        <v>-0.743</v>
      </c>
      <c r="E14">
        <f t="shared" si="0"/>
        <v>-0.46</v>
      </c>
    </row>
    <row r="15" spans="1:5">
      <c r="A15" s="1">
        <v>2017</v>
      </c>
      <c r="B15" s="17">
        <v>3.412</v>
      </c>
      <c r="C15" s="3">
        <v>2.543</v>
      </c>
      <c r="D15" s="3">
        <v>1.747</v>
      </c>
      <c r="E15">
        <f t="shared" si="0"/>
        <v>3.412</v>
      </c>
    </row>
    <row r="16" spans="1:5">
      <c r="A16" s="1">
        <v>2018</v>
      </c>
      <c r="B16" s="17">
        <v>-1.143</v>
      </c>
      <c r="C16" s="3">
        <v>-1.161</v>
      </c>
      <c r="D16" s="3">
        <v>-1.418</v>
      </c>
      <c r="E16">
        <f t="shared" si="0"/>
        <v>-1.143</v>
      </c>
    </row>
    <row r="17" spans="1:5">
      <c r="A17" s="1">
        <v>2019</v>
      </c>
      <c r="B17" s="17">
        <v>2.084</v>
      </c>
      <c r="C17" s="3">
        <v>1.678</v>
      </c>
      <c r="D17" s="3">
        <v>1.679</v>
      </c>
      <c r="E17">
        <f t="shared" si="0"/>
        <v>2.084</v>
      </c>
    </row>
    <row r="18" spans="1:5">
      <c r="A18" s="1">
        <v>2020</v>
      </c>
      <c r="B18" s="17">
        <v>1.364</v>
      </c>
      <c r="C18" s="3">
        <v>0.964</v>
      </c>
      <c r="D18" s="3">
        <v>1.231</v>
      </c>
      <c r="E18">
        <f t="shared" si="0"/>
        <v>1.364</v>
      </c>
    </row>
    <row r="19" spans="1:5">
      <c r="A19" s="1">
        <v>2021</v>
      </c>
      <c r="B19" s="16">
        <v>-0.404</v>
      </c>
      <c r="C19" s="3">
        <v>-0.699</v>
      </c>
      <c r="D19" s="7">
        <v>-0.132</v>
      </c>
      <c r="E19">
        <f t="shared" si="0"/>
        <v>-0.132</v>
      </c>
    </row>
    <row r="20" spans="1:5">
      <c r="A20" s="1">
        <v>2022</v>
      </c>
      <c r="B20" s="17">
        <v>-1.09</v>
      </c>
      <c r="C20" s="3">
        <v>-1.216</v>
      </c>
      <c r="D20" s="3">
        <v>-1.246</v>
      </c>
      <c r="E20">
        <f t="shared" si="0"/>
        <v>-1.09</v>
      </c>
    </row>
    <row r="21" spans="1:5">
      <c r="A21" s="1">
        <v>2023</v>
      </c>
      <c r="B21" s="16">
        <v>-1.093</v>
      </c>
      <c r="C21" s="3">
        <v>-1.12</v>
      </c>
      <c r="D21" s="7">
        <v>-1.087</v>
      </c>
      <c r="E21">
        <f t="shared" si="0"/>
        <v>-1.087</v>
      </c>
    </row>
    <row r="22" spans="1:5">
      <c r="A22" s="1">
        <v>2024</v>
      </c>
      <c r="B22" s="17">
        <v>0.595</v>
      </c>
      <c r="C22" s="3">
        <v>0.53</v>
      </c>
      <c r="D22" s="3">
        <v>0.453</v>
      </c>
      <c r="E22">
        <f t="shared" si="0"/>
        <v>0.595</v>
      </c>
    </row>
    <row r="23" spans="1:5">
      <c r="A23" s="1">
        <v>2025</v>
      </c>
      <c r="B23" s="16">
        <v>0.745</v>
      </c>
      <c r="C23" s="6">
        <v>1.131</v>
      </c>
      <c r="D23" s="7">
        <v>1.193</v>
      </c>
      <c r="E23">
        <f t="shared" si="0"/>
        <v>1.193</v>
      </c>
    </row>
    <row r="25" spans="1:5">
      <c r="A25" s="1" t="s">
        <v>7</v>
      </c>
      <c r="B25" s="7">
        <f>SUM(B13:B23)/11</f>
        <v>0.367909090909091</v>
      </c>
      <c r="C25" s="3">
        <f>SUM(C13:C23)/11</f>
        <v>0.179545454545455</v>
      </c>
      <c r="D25" s="3">
        <f>SUM(D13:D23)/11</f>
        <v>0.182545454545455</v>
      </c>
    </row>
    <row r="26" spans="1:5">
      <c r="A26" s="1" t="s">
        <v>12</v>
      </c>
      <c r="C26" s="3">
        <f>SUM(C4:C23)/20</f>
        <v>0.66295</v>
      </c>
      <c r="D26" s="4">
        <f>SUM(D4:D23)/20</f>
        <v>0.68375</v>
      </c>
    </row>
  </sheetData>
  <mergeCells count="3">
    <mergeCell ref="B1:D1"/>
    <mergeCell ref="A1:A2"/>
    <mergeCell ref="E1:E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G16" sqref="G16"/>
    </sheetView>
  </sheetViews>
  <sheetFormatPr defaultColWidth="9.02654867256637" defaultRowHeight="13.5" outlineLevelCol="5"/>
  <cols>
    <col min="1" max="1" width="20.5132743362832" customWidth="1"/>
    <col min="2" max="2" width="9.02654867256637" style="12"/>
    <col min="3" max="3" width="12.7964601769912" style="12"/>
    <col min="5" max="5" width="9.02654867256637" style="12"/>
  </cols>
  <sheetData>
    <row r="1" spans="1:6">
      <c r="A1" s="1" t="s">
        <v>0</v>
      </c>
      <c r="B1" s="3" t="s">
        <v>1</v>
      </c>
      <c r="C1" s="3"/>
      <c r="D1" s="1"/>
      <c r="E1" s="3"/>
      <c r="F1" s="1" t="s">
        <v>2</v>
      </c>
    </row>
    <row r="2" spans="1:6">
      <c r="A2" s="1"/>
      <c r="B2" s="3" t="s">
        <v>13</v>
      </c>
      <c r="C2" s="3" t="s">
        <v>14</v>
      </c>
      <c r="D2" s="1" t="s">
        <v>15</v>
      </c>
      <c r="E2" s="3" t="s">
        <v>16</v>
      </c>
      <c r="F2" s="1"/>
    </row>
    <row r="3" spans="1:6">
      <c r="A3">
        <v>2020</v>
      </c>
      <c r="B3" s="12">
        <v>0.826</v>
      </c>
      <c r="C3" s="12">
        <v>0.681</v>
      </c>
      <c r="E3" s="13">
        <v>0.926</v>
      </c>
      <c r="F3">
        <f t="shared" ref="F3:F8" si="0">MAX(B3:E3)</f>
        <v>0.926</v>
      </c>
    </row>
    <row r="4" spans="1:6">
      <c r="A4">
        <v>2021</v>
      </c>
      <c r="B4" s="12">
        <v>-0.109</v>
      </c>
      <c r="C4" s="13">
        <v>1.066</v>
      </c>
      <c r="E4" s="12">
        <v>0.335</v>
      </c>
      <c r="F4">
        <f t="shared" si="0"/>
        <v>1.066</v>
      </c>
    </row>
    <row r="5" spans="1:6">
      <c r="A5">
        <v>2022</v>
      </c>
      <c r="B5" s="12">
        <v>-1.282</v>
      </c>
      <c r="C5" s="12">
        <v>-1.086</v>
      </c>
      <c r="E5" s="13">
        <v>-1.073</v>
      </c>
      <c r="F5">
        <f t="shared" si="0"/>
        <v>-1.073</v>
      </c>
    </row>
    <row r="6" spans="1:6">
      <c r="A6">
        <v>2023</v>
      </c>
      <c r="B6" s="12">
        <v>-0.72</v>
      </c>
      <c r="C6" s="12">
        <v>-0.801</v>
      </c>
      <c r="D6" s="14">
        <v>-0.36</v>
      </c>
      <c r="E6" s="12">
        <v>-0.573</v>
      </c>
      <c r="F6">
        <f t="shared" si="0"/>
        <v>-0.36</v>
      </c>
    </row>
    <row r="7" spans="1:6">
      <c r="A7">
        <v>2024</v>
      </c>
      <c r="B7" s="12">
        <v>0.342</v>
      </c>
      <c r="C7" s="12">
        <v>-0.273</v>
      </c>
      <c r="D7" s="14">
        <v>-0.342</v>
      </c>
      <c r="E7" s="12">
        <v>-0.045</v>
      </c>
      <c r="F7">
        <f t="shared" si="0"/>
        <v>0.342</v>
      </c>
    </row>
    <row r="8" spans="1:6">
      <c r="A8">
        <v>2025</v>
      </c>
      <c r="B8" s="12">
        <v>1.132</v>
      </c>
      <c r="C8" s="13">
        <v>1.753</v>
      </c>
      <c r="D8">
        <v>1.748</v>
      </c>
      <c r="E8" s="12">
        <v>1.553</v>
      </c>
      <c r="F8">
        <f t="shared" si="0"/>
        <v>1.753</v>
      </c>
    </row>
    <row r="10" spans="1:6">
      <c r="A10" t="s">
        <v>7</v>
      </c>
      <c r="B10" s="12">
        <f>SUM(B3:B8)/6</f>
        <v>0.0315</v>
      </c>
      <c r="C10" s="12">
        <f>SUM(C3:C8)/6</f>
        <v>0.223333333333333</v>
      </c>
      <c r="E10" s="13">
        <f>SUM(B3:B8)/6</f>
        <v>0.0315</v>
      </c>
    </row>
    <row r="11" spans="1:6">
      <c r="A11" t="s">
        <v>17</v>
      </c>
      <c r="B11" s="12">
        <f>SUM(B6:B8)/3</f>
        <v>0.251333333333333</v>
      </c>
      <c r="C11" s="12">
        <f>SUM(C6:C8)/3</f>
        <v>0.226333333333333</v>
      </c>
      <c r="D11" s="15">
        <f>SUM(D6:D8)/3</f>
        <v>0.348666666666667</v>
      </c>
      <c r="E11" s="12">
        <f>SUM(E6:E8)/3</f>
        <v>0.311666666666667</v>
      </c>
    </row>
  </sheetData>
  <mergeCells count="3">
    <mergeCell ref="B1:E1"/>
    <mergeCell ref="A1:A2"/>
    <mergeCell ref="F1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4" sqref="D24"/>
    </sheetView>
  </sheetViews>
  <sheetFormatPr defaultColWidth="9.02654867256637" defaultRowHeight="13.5" outlineLevelCol="5"/>
  <cols>
    <col min="1" max="1" width="20.1858407079646" style="1" customWidth="1"/>
    <col min="2" max="2" width="9.02654867256637" style="3"/>
    <col min="3" max="3" width="12.7964601769912" style="3"/>
    <col min="4" max="4" width="9.02654867256637" style="1"/>
    <col min="5" max="5" width="9.02654867256637" style="3"/>
    <col min="6" max="6" width="9.02654867256637" style="1"/>
  </cols>
  <sheetData>
    <row r="1" spans="1:6">
      <c r="A1" s="1" t="s">
        <v>0</v>
      </c>
      <c r="B1" s="3" t="s">
        <v>1</v>
      </c>
      <c r="F1" s="1" t="s">
        <v>2</v>
      </c>
    </row>
    <row r="2" spans="1:6">
      <c r="B2" s="3" t="s">
        <v>18</v>
      </c>
      <c r="C2" s="3" t="s">
        <v>19</v>
      </c>
      <c r="D2" s="1" t="s">
        <v>20</v>
      </c>
      <c r="E2" s="3" t="s">
        <v>21</v>
      </c>
    </row>
    <row r="3" customFormat="1" spans="1:6">
      <c r="A3" s="1">
        <v>2011</v>
      </c>
      <c r="B3" s="8">
        <v>-1.374</v>
      </c>
      <c r="C3" s="3">
        <v>-1.412</v>
      </c>
      <c r="D3" s="1"/>
      <c r="E3" s="3">
        <v>-1.403</v>
      </c>
      <c r="F3" s="1">
        <f>MAX(B3:E3)</f>
        <v>-1.374</v>
      </c>
    </row>
    <row r="4" customFormat="1" spans="1:6">
      <c r="A4" s="1">
        <v>2012</v>
      </c>
      <c r="B4" s="9">
        <v>-0.359</v>
      </c>
      <c r="C4" s="3">
        <v>-0.183</v>
      </c>
      <c r="D4" s="1"/>
      <c r="E4" s="4">
        <v>-0.17</v>
      </c>
      <c r="F4" s="1">
        <f t="shared" ref="F4:F17" si="0">MAX(B4:E4)</f>
        <v>-0.17</v>
      </c>
    </row>
    <row r="5" customFormat="1" spans="1:6">
      <c r="A5" s="1">
        <v>2013</v>
      </c>
      <c r="B5" s="8">
        <v>2.746</v>
      </c>
      <c r="C5" s="3">
        <v>2.513</v>
      </c>
      <c r="D5" s="1">
        <v>1.786</v>
      </c>
      <c r="E5" s="3">
        <v>2.298</v>
      </c>
      <c r="F5" s="1">
        <f t="shared" si="0"/>
        <v>2.746</v>
      </c>
    </row>
    <row r="6" customFormat="1" spans="1:6">
      <c r="A6" s="1">
        <v>2014</v>
      </c>
      <c r="B6" s="9">
        <v>0.25</v>
      </c>
      <c r="C6" s="3">
        <v>0.391</v>
      </c>
      <c r="D6" s="10">
        <v>1.473</v>
      </c>
      <c r="E6" s="3">
        <v>0.947</v>
      </c>
      <c r="F6" s="1">
        <f t="shared" si="0"/>
        <v>1.473</v>
      </c>
    </row>
    <row r="7" customFormat="1" spans="1:6">
      <c r="A7" s="1">
        <v>2015</v>
      </c>
      <c r="B7" s="9">
        <v>1.525</v>
      </c>
      <c r="C7" s="3">
        <v>1.595</v>
      </c>
      <c r="D7" s="10">
        <v>2.61</v>
      </c>
      <c r="E7" s="3">
        <v>2.099</v>
      </c>
      <c r="F7" s="1">
        <f t="shared" si="0"/>
        <v>2.61</v>
      </c>
    </row>
    <row r="8" customFormat="1" spans="1:6">
      <c r="A8" s="1">
        <v>2016</v>
      </c>
      <c r="B8" s="9">
        <v>-1.011</v>
      </c>
      <c r="C8" s="3">
        <v>-0.92</v>
      </c>
      <c r="D8" s="1">
        <v>-0.702</v>
      </c>
      <c r="E8" s="4">
        <v>-0.678</v>
      </c>
      <c r="F8" s="1">
        <f t="shared" si="0"/>
        <v>-0.678</v>
      </c>
    </row>
    <row r="9" customFormat="1" spans="1:6">
      <c r="A9" s="1">
        <v>2017</v>
      </c>
      <c r="B9" s="9">
        <v>-0.914</v>
      </c>
      <c r="C9" s="4">
        <v>-0.822</v>
      </c>
      <c r="D9" s="1">
        <v>-1.237</v>
      </c>
      <c r="E9" s="3">
        <v>-1.003</v>
      </c>
      <c r="F9" s="1">
        <f t="shared" si="0"/>
        <v>-0.822</v>
      </c>
    </row>
    <row r="10" customFormat="1" spans="1:6">
      <c r="A10" s="1">
        <v>2018</v>
      </c>
      <c r="B10" s="9">
        <v>-1.169</v>
      </c>
      <c r="C10" s="4">
        <v>-1.128</v>
      </c>
      <c r="D10" s="1">
        <v>-1.292</v>
      </c>
      <c r="E10" s="3">
        <v>-1.213</v>
      </c>
      <c r="F10" s="1">
        <f t="shared" si="0"/>
        <v>-1.128</v>
      </c>
    </row>
    <row r="11" customFormat="1" spans="1:6">
      <c r="A11" s="1">
        <v>2019</v>
      </c>
      <c r="B11" s="8">
        <v>1.745</v>
      </c>
      <c r="C11" s="3">
        <v>1.565</v>
      </c>
      <c r="D11" s="1">
        <v>1.021</v>
      </c>
      <c r="E11" s="3">
        <v>1.345</v>
      </c>
      <c r="F11" s="1">
        <f t="shared" si="0"/>
        <v>1.745</v>
      </c>
    </row>
    <row r="12" customFormat="1" spans="1:6">
      <c r="A12" s="1">
        <v>2020</v>
      </c>
      <c r="B12" s="8">
        <v>2.567</v>
      </c>
      <c r="C12" s="3">
        <v>1.981</v>
      </c>
      <c r="D12" s="1">
        <v>0.415</v>
      </c>
      <c r="E12" s="6">
        <v>1.447</v>
      </c>
      <c r="F12" s="1">
        <f t="shared" si="0"/>
        <v>2.567</v>
      </c>
    </row>
    <row r="13" customFormat="1" spans="1:6">
      <c r="A13" s="1">
        <v>2021</v>
      </c>
      <c r="B13" s="9">
        <v>0.45</v>
      </c>
      <c r="C13" s="6">
        <v>0.327</v>
      </c>
      <c r="D13" s="10">
        <v>1.077</v>
      </c>
      <c r="E13" s="3">
        <v>0.658</v>
      </c>
      <c r="F13" s="1">
        <f t="shared" si="0"/>
        <v>1.077</v>
      </c>
    </row>
    <row r="14" customFormat="1" spans="1:6">
      <c r="A14" s="1">
        <v>2022</v>
      </c>
      <c r="B14" s="9">
        <v>-1.071</v>
      </c>
      <c r="C14" s="3">
        <v>-1.15</v>
      </c>
      <c r="D14" s="10">
        <v>-0.985</v>
      </c>
      <c r="E14" s="6">
        <v>-1.112</v>
      </c>
      <c r="F14" s="1">
        <f t="shared" si="0"/>
        <v>-0.985</v>
      </c>
    </row>
    <row r="15" spans="1:6">
      <c r="A15" s="1">
        <v>2023</v>
      </c>
      <c r="B15" s="9">
        <v>-1.364</v>
      </c>
      <c r="C15" s="3">
        <v>-1.263</v>
      </c>
      <c r="D15" s="2">
        <v>0.114</v>
      </c>
      <c r="E15" s="3">
        <v>-0.499</v>
      </c>
      <c r="F15" s="1">
        <f t="shared" si="0"/>
        <v>0.114</v>
      </c>
    </row>
    <row r="16" spans="1:6">
      <c r="A16" s="1">
        <v>2024</v>
      </c>
      <c r="B16" s="8">
        <v>0.449</v>
      </c>
      <c r="C16" s="3">
        <v>0.265</v>
      </c>
      <c r="D16" s="11">
        <v>0.15</v>
      </c>
      <c r="E16" s="3">
        <v>0.168</v>
      </c>
      <c r="F16" s="1">
        <f t="shared" si="0"/>
        <v>0.449</v>
      </c>
    </row>
    <row r="17" spans="1:6">
      <c r="A17" s="1">
        <v>2025</v>
      </c>
      <c r="B17" s="8">
        <v>1.696</v>
      </c>
      <c r="C17" s="6">
        <v>1.58</v>
      </c>
      <c r="D17" s="1">
        <v>0.823</v>
      </c>
      <c r="E17" s="3">
        <v>1.316</v>
      </c>
      <c r="F17" s="1">
        <f t="shared" si="0"/>
        <v>1.696</v>
      </c>
    </row>
    <row r="19" customFormat="1" spans="1:6">
      <c r="A19" s="1" t="s">
        <v>7</v>
      </c>
      <c r="B19" s="3">
        <f>SUM(B3:B17)/15</f>
        <v>0.277733333333333</v>
      </c>
      <c r="C19" s="3">
        <f>SUM(C3:C17)/15</f>
        <v>0.2226</v>
      </c>
      <c r="D19" s="3"/>
      <c r="E19" s="4">
        <f>SUM(E3:E17)/15</f>
        <v>0.28</v>
      </c>
      <c r="F19" s="1"/>
    </row>
    <row r="20" spans="1:6">
      <c r="A20" s="1" t="s">
        <v>22</v>
      </c>
      <c r="B20" s="4">
        <f>SUM(B5:B17)/13</f>
        <v>0.453769230769231</v>
      </c>
      <c r="C20" s="3">
        <f>SUM(C5:C17)/13</f>
        <v>0.379538461538462</v>
      </c>
      <c r="D20" s="3">
        <f>SUM(D5:D17)/13</f>
        <v>0.404076923076923</v>
      </c>
      <c r="E20" s="3">
        <f>SUM(E5:E17)/13</f>
        <v>0.444076923076923</v>
      </c>
    </row>
  </sheetData>
  <mergeCells count="3">
    <mergeCell ref="B1:E1"/>
    <mergeCell ref="A1:A2"/>
    <mergeCell ref="F1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E29" sqref="E29"/>
    </sheetView>
  </sheetViews>
  <sheetFormatPr defaultColWidth="9.02654867256637" defaultRowHeight="13.5"/>
  <cols>
    <col min="1" max="1" width="9.02654867256637" style="1"/>
    <col min="2" max="2" width="15.4778761061947" style="1" customWidth="1"/>
    <col min="3" max="13" width="9.02654867256637" style="1"/>
  </cols>
  <sheetData>
    <row r="1" spans="1:13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1" t="s">
        <v>2</v>
      </c>
    </row>
    <row r="2" spans="1:13"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3">
      <c r="A3" s="1">
        <v>2005</v>
      </c>
      <c r="B3" s="1">
        <v>-0.034</v>
      </c>
      <c r="C3" s="1">
        <v>-0.75</v>
      </c>
      <c r="D3" s="1">
        <v>-0.68</v>
      </c>
      <c r="E3" s="1">
        <v>-0.632</v>
      </c>
      <c r="F3" s="1">
        <v>-0.188</v>
      </c>
      <c r="G3" s="1">
        <v>-0.864</v>
      </c>
      <c r="H3" s="2">
        <v>0.422</v>
      </c>
      <c r="I3" s="1">
        <v>-0.393</v>
      </c>
      <c r="J3" s="1">
        <v>-0.897</v>
      </c>
      <c r="K3" s="1">
        <v>-0.536</v>
      </c>
      <c r="L3" s="1">
        <v>-0.747</v>
      </c>
      <c r="M3" s="1">
        <f>MAX(B3:L3)</f>
        <v>0.422</v>
      </c>
    </row>
    <row r="4" spans="1:13">
      <c r="A4" s="1">
        <v>2006</v>
      </c>
      <c r="B4" s="1">
        <v>4.732</v>
      </c>
      <c r="C4" s="1">
        <v>4.51</v>
      </c>
      <c r="D4" s="1">
        <v>4.28</v>
      </c>
      <c r="E4" s="1">
        <v>4.243</v>
      </c>
      <c r="F4" s="2">
        <v>7.035</v>
      </c>
      <c r="G4" s="1">
        <v>3.501</v>
      </c>
      <c r="H4" s="1">
        <v>6.925</v>
      </c>
      <c r="I4" s="1">
        <v>5.614</v>
      </c>
      <c r="J4" s="1">
        <v>2.224</v>
      </c>
      <c r="K4" s="1">
        <v>2.974</v>
      </c>
      <c r="L4" s="1">
        <v>2.085</v>
      </c>
      <c r="M4" s="1">
        <f t="shared" ref="M4:M23" si="0">MAX(B4:L4)</f>
        <v>7.035</v>
      </c>
    </row>
    <row r="5" spans="1:13">
      <c r="A5" s="1">
        <v>2007</v>
      </c>
      <c r="B5" s="1">
        <v>4.316</v>
      </c>
      <c r="C5" s="1">
        <v>4.846</v>
      </c>
      <c r="D5" s="1">
        <v>4.653</v>
      </c>
      <c r="E5" s="1">
        <v>3.953</v>
      </c>
      <c r="F5" s="1">
        <v>4.154</v>
      </c>
      <c r="G5" s="2">
        <v>4.938</v>
      </c>
      <c r="H5" s="1">
        <v>3.104</v>
      </c>
      <c r="I5" s="1">
        <v>3.39</v>
      </c>
      <c r="J5" s="1">
        <v>2.849</v>
      </c>
      <c r="K5" s="1">
        <v>2.947</v>
      </c>
      <c r="L5" s="1">
        <v>3.984</v>
      </c>
      <c r="M5" s="1">
        <f t="shared" si="0"/>
        <v>4.938</v>
      </c>
    </row>
    <row r="6" spans="1:13">
      <c r="A6" s="1">
        <v>2008</v>
      </c>
      <c r="B6" s="1">
        <v>-1.446</v>
      </c>
      <c r="C6" s="1">
        <v>-1.451</v>
      </c>
      <c r="D6" s="1">
        <v>-1.335</v>
      </c>
      <c r="E6" s="1">
        <v>-1.283</v>
      </c>
      <c r="F6" s="1">
        <v>-1.248</v>
      </c>
      <c r="G6" s="2">
        <v>-0.906</v>
      </c>
      <c r="H6" s="1">
        <v>-1.242</v>
      </c>
      <c r="I6" s="1">
        <v>-1.141</v>
      </c>
      <c r="J6" s="1">
        <v>-1.177</v>
      </c>
      <c r="K6" s="1">
        <v>-1.057</v>
      </c>
      <c r="L6" s="1">
        <v>-1.309</v>
      </c>
      <c r="M6" s="1">
        <f t="shared" si="0"/>
        <v>-0.906</v>
      </c>
    </row>
    <row r="7" spans="1:13">
      <c r="A7" s="1">
        <v>2009</v>
      </c>
      <c r="B7" s="1">
        <v>3.059</v>
      </c>
      <c r="C7" s="1">
        <v>2.996</v>
      </c>
      <c r="D7" s="1">
        <v>2.542</v>
      </c>
      <c r="E7" s="2">
        <v>3.928</v>
      </c>
      <c r="F7" s="1">
        <v>2.911</v>
      </c>
      <c r="G7" s="1">
        <v>3.191</v>
      </c>
      <c r="H7" s="1">
        <v>2.838</v>
      </c>
      <c r="I7" s="1">
        <v>2.611</v>
      </c>
      <c r="J7" s="1">
        <v>3.026</v>
      </c>
      <c r="K7" s="1">
        <v>3.168</v>
      </c>
      <c r="L7" s="1">
        <v>1.44</v>
      </c>
      <c r="M7" s="1">
        <f t="shared" si="0"/>
        <v>3.928</v>
      </c>
    </row>
    <row r="8" spans="1:13">
      <c r="A8" s="1">
        <v>2010</v>
      </c>
      <c r="B8" s="1">
        <v>-0.4</v>
      </c>
      <c r="C8" s="1">
        <v>-0.114</v>
      </c>
      <c r="D8" s="1">
        <v>0.052</v>
      </c>
      <c r="E8" s="1">
        <v>-0.254</v>
      </c>
      <c r="F8" s="1">
        <v>0.568</v>
      </c>
      <c r="G8" s="1">
        <v>0.701</v>
      </c>
      <c r="H8" s="1">
        <v>-1.147</v>
      </c>
      <c r="I8" s="1">
        <v>-0.796</v>
      </c>
      <c r="J8" s="2">
        <v>1.122</v>
      </c>
      <c r="K8" s="1">
        <v>-0.02</v>
      </c>
      <c r="L8" s="1">
        <v>-0.967</v>
      </c>
      <c r="M8" s="1">
        <f t="shared" si="0"/>
        <v>1.122</v>
      </c>
    </row>
    <row r="9" spans="1:13">
      <c r="A9" s="1">
        <v>2011</v>
      </c>
      <c r="B9" s="1">
        <v>-1.044</v>
      </c>
      <c r="C9" s="1">
        <v>-1.535</v>
      </c>
      <c r="D9" s="1">
        <v>-1.697</v>
      </c>
      <c r="E9" s="1">
        <v>-1.418</v>
      </c>
      <c r="F9" s="1">
        <v>-1.144</v>
      </c>
      <c r="G9" s="1">
        <v>-1.562</v>
      </c>
      <c r="H9" s="2">
        <v>-0.827</v>
      </c>
      <c r="I9" s="1">
        <v>-0.968</v>
      </c>
      <c r="J9" s="1">
        <v>-1.674</v>
      </c>
      <c r="K9" s="1">
        <v>-1.469</v>
      </c>
      <c r="L9" s="1">
        <v>-1.234</v>
      </c>
      <c r="M9" s="1">
        <f t="shared" si="0"/>
        <v>-0.827</v>
      </c>
    </row>
    <row r="10" spans="1:13">
      <c r="A10" s="1">
        <v>2012</v>
      </c>
      <c r="B10" s="1">
        <v>-0.323</v>
      </c>
      <c r="C10" s="1">
        <v>-0.047</v>
      </c>
      <c r="D10" s="1">
        <v>-0.283</v>
      </c>
      <c r="E10" s="1">
        <v>-0.075</v>
      </c>
      <c r="F10" s="1">
        <v>-0.212</v>
      </c>
      <c r="G10" s="1">
        <v>0.306</v>
      </c>
      <c r="H10" s="2">
        <v>0.791</v>
      </c>
      <c r="I10" s="1">
        <v>0.691</v>
      </c>
      <c r="J10" s="1">
        <v>-0.208</v>
      </c>
      <c r="K10" s="1">
        <v>-0.773</v>
      </c>
      <c r="L10" s="1">
        <v>-0.097</v>
      </c>
      <c r="M10" s="1">
        <f t="shared" si="0"/>
        <v>0.791</v>
      </c>
    </row>
    <row r="11" spans="1:13">
      <c r="A11" s="1">
        <v>2013</v>
      </c>
      <c r="B11" s="1">
        <v>-1.435</v>
      </c>
      <c r="C11" s="1">
        <v>-1.095</v>
      </c>
      <c r="D11" s="1">
        <v>-0.079</v>
      </c>
      <c r="E11" s="1">
        <v>0.721</v>
      </c>
      <c r="F11" s="1">
        <v>-0.104</v>
      </c>
      <c r="G11" s="1">
        <v>1.115</v>
      </c>
      <c r="H11" s="1">
        <v>-0.382</v>
      </c>
      <c r="I11" s="1" t="s">
        <v>34</v>
      </c>
      <c r="J11" s="2">
        <v>1.407</v>
      </c>
      <c r="K11" s="1">
        <v>1.307</v>
      </c>
      <c r="L11" s="1">
        <v>-0.18</v>
      </c>
      <c r="M11" s="1">
        <f t="shared" si="0"/>
        <v>1.407</v>
      </c>
    </row>
    <row r="12" spans="1:13">
      <c r="A12" s="1">
        <v>2014</v>
      </c>
      <c r="B12" s="1">
        <v>0.772</v>
      </c>
      <c r="C12" s="1">
        <v>1.702</v>
      </c>
      <c r="D12" s="1">
        <v>2.573</v>
      </c>
      <c r="E12" s="1">
        <v>1.16</v>
      </c>
      <c r="F12" s="1">
        <v>0.673</v>
      </c>
      <c r="G12" s="1">
        <v>0.413</v>
      </c>
      <c r="H12" s="1">
        <v>3.131</v>
      </c>
      <c r="I12" s="1">
        <v>3.096</v>
      </c>
      <c r="J12" s="1">
        <v>0.839</v>
      </c>
      <c r="K12" s="1">
        <v>1.259</v>
      </c>
      <c r="L12" s="2">
        <v>3.636</v>
      </c>
      <c r="M12" s="1">
        <f t="shared" si="0"/>
        <v>3.636</v>
      </c>
    </row>
    <row r="13" spans="1:13">
      <c r="A13" s="1">
        <v>2015</v>
      </c>
      <c r="B13" s="1">
        <v>-0.434</v>
      </c>
      <c r="C13" s="1">
        <v>0.182</v>
      </c>
      <c r="D13" s="1">
        <v>0.326</v>
      </c>
      <c r="E13" s="1">
        <v>0.845</v>
      </c>
      <c r="F13" s="1">
        <v>0.598</v>
      </c>
      <c r="G13" s="1">
        <v>0.968</v>
      </c>
      <c r="H13" s="1">
        <v>-0.335</v>
      </c>
      <c r="I13" s="1">
        <v>0.865</v>
      </c>
      <c r="J13" s="2">
        <v>1.191</v>
      </c>
      <c r="K13" s="1">
        <v>0.789</v>
      </c>
      <c r="L13" s="1">
        <v>0.069</v>
      </c>
      <c r="M13" s="1">
        <f t="shared" si="0"/>
        <v>1.191</v>
      </c>
    </row>
    <row r="14" spans="1:13">
      <c r="A14" s="1">
        <v>2016</v>
      </c>
      <c r="B14" s="1">
        <v>-0.182</v>
      </c>
      <c r="C14" s="1">
        <v>-0.344</v>
      </c>
      <c r="D14" s="1">
        <v>-0.743</v>
      </c>
      <c r="E14" s="1">
        <v>-0.816</v>
      </c>
      <c r="F14" s="2">
        <v>-0.105</v>
      </c>
      <c r="G14" s="1">
        <v>-0.608</v>
      </c>
      <c r="H14" s="1">
        <v>-0.602</v>
      </c>
      <c r="I14" s="1">
        <v>-0.843</v>
      </c>
      <c r="J14" s="1">
        <v>-0.908</v>
      </c>
      <c r="K14" s="1">
        <v>-0.492</v>
      </c>
      <c r="L14" s="1">
        <v>-1.057</v>
      </c>
      <c r="M14" s="1">
        <f t="shared" si="0"/>
        <v>-0.105</v>
      </c>
    </row>
    <row r="15" spans="1:13">
      <c r="A15" s="1">
        <v>2017</v>
      </c>
      <c r="B15" s="1">
        <v>0.228</v>
      </c>
      <c r="C15" s="1">
        <v>1.078</v>
      </c>
      <c r="D15" s="1">
        <v>-0.158</v>
      </c>
      <c r="E15" s="1">
        <v>0.904</v>
      </c>
      <c r="F15" s="2">
        <v>3.012</v>
      </c>
      <c r="G15" s="1">
        <v>0.891</v>
      </c>
      <c r="H15" s="1">
        <v>1.08</v>
      </c>
      <c r="I15" s="1">
        <v>0.384</v>
      </c>
      <c r="J15" s="1">
        <v>0.528</v>
      </c>
      <c r="K15" s="1">
        <v>1.164</v>
      </c>
      <c r="L15" s="1">
        <v>-0.537</v>
      </c>
      <c r="M15" s="1">
        <f t="shared" si="0"/>
        <v>3.012</v>
      </c>
    </row>
    <row r="16" spans="1:13">
      <c r="A16" s="1">
        <v>2018</v>
      </c>
      <c r="B16" s="1">
        <v>-1.215</v>
      </c>
      <c r="C16" s="1">
        <v>-1.548</v>
      </c>
      <c r="D16" s="1">
        <v>-1.638</v>
      </c>
      <c r="E16" s="1">
        <v>-1.541</v>
      </c>
      <c r="F16" s="2">
        <v>-0.892</v>
      </c>
      <c r="G16" s="1">
        <v>-1.085</v>
      </c>
      <c r="H16" s="1">
        <v>-1.047</v>
      </c>
      <c r="I16" s="1">
        <v>-0.975</v>
      </c>
      <c r="J16" s="1">
        <v>-1.253</v>
      </c>
      <c r="K16" s="1">
        <v>-1.318</v>
      </c>
      <c r="L16" s="1">
        <v>-0.975</v>
      </c>
      <c r="M16" s="1">
        <f t="shared" si="0"/>
        <v>-0.892</v>
      </c>
    </row>
    <row r="17" spans="1:13">
      <c r="A17" s="1">
        <v>2019</v>
      </c>
      <c r="B17" s="1">
        <v>0.397</v>
      </c>
      <c r="C17" s="1">
        <v>0.915</v>
      </c>
      <c r="D17" s="1">
        <v>0.716</v>
      </c>
      <c r="E17" s="1">
        <v>1.262</v>
      </c>
      <c r="F17" s="2">
        <v>2.589</v>
      </c>
      <c r="G17" s="1">
        <v>1.232</v>
      </c>
      <c r="H17" s="1">
        <v>1.378</v>
      </c>
      <c r="I17" s="1">
        <v>0.985</v>
      </c>
      <c r="J17" s="1">
        <v>1.951</v>
      </c>
      <c r="K17" s="1">
        <v>1.07</v>
      </c>
      <c r="L17" s="1">
        <v>-0.016</v>
      </c>
      <c r="M17" s="1">
        <f t="shared" si="0"/>
        <v>2.589</v>
      </c>
    </row>
    <row r="18" spans="1:13">
      <c r="A18" s="1">
        <v>2020</v>
      </c>
      <c r="B18" s="1">
        <v>-0.654</v>
      </c>
      <c r="C18" s="1">
        <v>1.027</v>
      </c>
      <c r="D18" s="1">
        <v>1.38</v>
      </c>
      <c r="E18" s="1">
        <v>1.664</v>
      </c>
      <c r="F18" s="2">
        <v>2.48</v>
      </c>
      <c r="G18" s="1">
        <v>1.747</v>
      </c>
      <c r="H18" s="1">
        <v>-0.012</v>
      </c>
      <c r="I18" s="1">
        <v>-0.707</v>
      </c>
      <c r="J18" s="1">
        <v>0.592</v>
      </c>
      <c r="K18" s="1">
        <v>-0.314</v>
      </c>
      <c r="L18" s="1">
        <v>-0.364</v>
      </c>
      <c r="M18" s="1">
        <f t="shared" si="0"/>
        <v>2.48</v>
      </c>
    </row>
    <row r="19" spans="1:13">
      <c r="A19" s="1">
        <v>2021</v>
      </c>
      <c r="B19" s="1">
        <v>1.015</v>
      </c>
      <c r="C19" s="1">
        <v>0.589</v>
      </c>
      <c r="D19" s="1">
        <v>0.654</v>
      </c>
      <c r="E19" s="1">
        <v>-0.517</v>
      </c>
      <c r="F19" s="1">
        <v>-0.391</v>
      </c>
      <c r="G19" s="1">
        <v>-0.552</v>
      </c>
      <c r="H19" s="1">
        <v>-0.73</v>
      </c>
      <c r="I19" s="1">
        <v>-0.718</v>
      </c>
      <c r="J19" s="1">
        <v>-0.052</v>
      </c>
      <c r="K19" s="1">
        <v>0.028</v>
      </c>
      <c r="L19" s="2">
        <v>1.264</v>
      </c>
      <c r="M19" s="1">
        <f t="shared" si="0"/>
        <v>1.264</v>
      </c>
    </row>
    <row r="20" spans="1:13">
      <c r="A20" s="1">
        <v>2022</v>
      </c>
      <c r="B20" s="2">
        <v>0.273</v>
      </c>
      <c r="C20" s="1">
        <v>-1.05</v>
      </c>
      <c r="D20" s="1">
        <v>-1.058</v>
      </c>
      <c r="E20" s="1">
        <v>-0.921</v>
      </c>
      <c r="F20" s="1">
        <v>-0.718</v>
      </c>
      <c r="G20" s="1">
        <v>-0.92</v>
      </c>
      <c r="H20" s="1">
        <v>-0.881</v>
      </c>
      <c r="I20" s="1">
        <v>-0.496</v>
      </c>
      <c r="J20" s="1">
        <v>-1.397</v>
      </c>
      <c r="K20" s="1">
        <v>-1.075</v>
      </c>
      <c r="L20" s="1">
        <v>-0.765</v>
      </c>
      <c r="M20" s="1">
        <f t="shared" si="0"/>
        <v>0.273</v>
      </c>
    </row>
    <row r="21" spans="1:13">
      <c r="A21" s="1">
        <v>2023</v>
      </c>
      <c r="B21" s="1">
        <v>0.505</v>
      </c>
      <c r="C21" s="1">
        <v>-1.102</v>
      </c>
      <c r="D21" s="1">
        <v>-1.587</v>
      </c>
      <c r="E21" s="1">
        <v>-0.8</v>
      </c>
      <c r="F21" s="1">
        <v>-1.315</v>
      </c>
      <c r="G21" s="1">
        <v>-0.904</v>
      </c>
      <c r="H21" s="1">
        <v>-0.515</v>
      </c>
      <c r="I21" s="1">
        <v>-1.579</v>
      </c>
      <c r="J21" s="1">
        <v>-0.032</v>
      </c>
      <c r="K21" s="2">
        <v>0.535</v>
      </c>
      <c r="L21" s="1">
        <v>-0.092</v>
      </c>
      <c r="M21" s="1">
        <f t="shared" si="0"/>
        <v>0.535</v>
      </c>
    </row>
    <row r="22" spans="1:13">
      <c r="A22" s="1">
        <v>2024</v>
      </c>
      <c r="B22" s="1">
        <v>0.369</v>
      </c>
      <c r="C22" s="1">
        <v>-0.032</v>
      </c>
      <c r="D22" s="1">
        <v>0.322</v>
      </c>
      <c r="E22" s="1">
        <v>0.724</v>
      </c>
      <c r="F22" s="1">
        <v>-0.367</v>
      </c>
      <c r="G22" s="1">
        <v>-0.594</v>
      </c>
      <c r="H22" s="2">
        <v>1.452</v>
      </c>
      <c r="I22" s="1">
        <v>-0.177</v>
      </c>
      <c r="J22" s="1">
        <v>0.469</v>
      </c>
      <c r="K22" s="1">
        <v>0.737</v>
      </c>
      <c r="L22" s="1">
        <v>0.638</v>
      </c>
      <c r="M22" s="1">
        <f t="shared" si="0"/>
        <v>1.452</v>
      </c>
    </row>
    <row r="23" spans="1:13">
      <c r="A23" s="1">
        <v>2025</v>
      </c>
      <c r="B23" s="1">
        <v>-0.227</v>
      </c>
      <c r="C23" s="2">
        <v>2.779</v>
      </c>
      <c r="D23" s="1">
        <v>0.995</v>
      </c>
      <c r="E23" s="1">
        <v>0.253</v>
      </c>
      <c r="F23" s="1">
        <v>-0.644</v>
      </c>
      <c r="G23" s="1">
        <v>0.075</v>
      </c>
      <c r="H23" s="1">
        <v>0.338</v>
      </c>
      <c r="I23" s="1">
        <v>-0.315</v>
      </c>
      <c r="J23" s="1">
        <v>1.23</v>
      </c>
      <c r="K23" s="1">
        <v>2.191</v>
      </c>
      <c r="L23" s="1">
        <v>-0.488</v>
      </c>
      <c r="M23" s="1">
        <f t="shared" si="0"/>
        <v>2.779</v>
      </c>
    </row>
    <row r="25" spans="1:13">
      <c r="A25" s="1" t="s">
        <v>7</v>
      </c>
      <c r="B25" s="3">
        <f>SUM(B3:B23)/21</f>
        <v>0.393904761904762</v>
      </c>
      <c r="C25" s="3">
        <f t="shared" ref="C25:M25" si="1">SUM(C3:C23)/21</f>
        <v>0.550285714285714</v>
      </c>
      <c r="D25" s="3">
        <f t="shared" si="1"/>
        <v>0.439761904761905</v>
      </c>
      <c r="E25" s="3">
        <f t="shared" si="1"/>
        <v>0.542857142857143</v>
      </c>
      <c r="F25" s="4">
        <f t="shared" si="1"/>
        <v>0.794857142857143</v>
      </c>
      <c r="G25" s="3">
        <f t="shared" si="1"/>
        <v>0.527761904761905</v>
      </c>
      <c r="H25" s="5">
        <f t="shared" si="1"/>
        <v>0.654238095238095</v>
      </c>
      <c r="I25" s="3">
        <f t="shared" si="1"/>
        <v>0.406095238095238</v>
      </c>
      <c r="J25" s="3">
        <f t="shared" si="1"/>
        <v>0.468095238095238</v>
      </c>
      <c r="K25" s="3">
        <f t="shared" si="1"/>
        <v>0.529285714285714</v>
      </c>
      <c r="L25" s="3">
        <f t="shared" si="1"/>
        <v>0.204190476190476</v>
      </c>
      <c r="M25" s="3"/>
    </row>
  </sheetData>
  <mergeCells count="3">
    <mergeCell ref="B1:L1"/>
    <mergeCell ref="A1:A2"/>
    <mergeCell ref="M1:M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E29" sqref="E29"/>
    </sheetView>
  </sheetViews>
  <sheetFormatPr defaultColWidth="9.02654867256637" defaultRowHeight="13.5" outlineLevelCol="6"/>
  <cols>
    <col min="1" max="1" width="7.31858407079646" style="1" customWidth="1"/>
    <col min="2" max="2" width="11.3097345132743" style="1" customWidth="1"/>
    <col min="3" max="4" width="10.3185840707965" style="1" customWidth="1"/>
    <col min="5" max="6" width="11.4513274336283" style="1" customWidth="1"/>
    <col min="7" max="7" width="7.53097345132743" style="1" customWidth="1"/>
  </cols>
  <sheetData>
    <row r="1" spans="1:7">
      <c r="A1" s="1" t="s">
        <v>0</v>
      </c>
      <c r="B1" s="1" t="s">
        <v>1</v>
      </c>
      <c r="G1" s="1" t="s">
        <v>2</v>
      </c>
    </row>
    <row r="2" spans="1:7"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</row>
    <row r="3" spans="1:7">
      <c r="A3" s="1">
        <v>2014</v>
      </c>
      <c r="B3" s="2">
        <v>2.703</v>
      </c>
      <c r="C3" s="1">
        <v>2.06</v>
      </c>
      <c r="D3" s="1">
        <v>2.019</v>
      </c>
      <c r="E3" s="1">
        <v>2.468</v>
      </c>
      <c r="F3" s="1">
        <v>2.513</v>
      </c>
      <c r="G3" s="1">
        <f>MAX(B3:F3)</f>
        <v>2.703</v>
      </c>
    </row>
    <row r="4" spans="1:7">
      <c r="A4" s="1">
        <v>2015</v>
      </c>
      <c r="B4" s="1">
        <v>0.346</v>
      </c>
      <c r="C4" s="1">
        <v>0.024</v>
      </c>
      <c r="D4" s="1">
        <v>0.613</v>
      </c>
      <c r="E4" s="2">
        <v>1.122</v>
      </c>
      <c r="F4" s="1">
        <v>0.183</v>
      </c>
      <c r="G4" s="1">
        <f t="shared" ref="G4:G14" si="0">MAX(B4:F4)</f>
        <v>1.122</v>
      </c>
    </row>
    <row r="5" spans="1:7">
      <c r="A5" s="1">
        <v>2016</v>
      </c>
      <c r="B5" s="2">
        <v>-0.322</v>
      </c>
      <c r="C5" s="1">
        <v>-0.405</v>
      </c>
      <c r="D5" s="1">
        <v>-0.366</v>
      </c>
      <c r="E5" s="1">
        <v>-0.4</v>
      </c>
      <c r="F5" s="1">
        <v>-0.38</v>
      </c>
      <c r="G5" s="1">
        <f t="shared" si="0"/>
        <v>-0.322</v>
      </c>
    </row>
    <row r="6" spans="1:7">
      <c r="A6" s="1">
        <v>2017</v>
      </c>
      <c r="B6" s="1">
        <v>3.07</v>
      </c>
      <c r="C6" s="2">
        <v>3.699</v>
      </c>
      <c r="D6" s="1">
        <v>0.974</v>
      </c>
      <c r="E6" s="1">
        <v>-0.993</v>
      </c>
      <c r="F6" s="1">
        <v>3.557</v>
      </c>
      <c r="G6" s="1">
        <f t="shared" si="0"/>
        <v>3.699</v>
      </c>
    </row>
    <row r="7" spans="1:7">
      <c r="A7" s="1">
        <v>2018</v>
      </c>
      <c r="B7" s="1">
        <v>-1.002</v>
      </c>
      <c r="C7" s="1">
        <v>-1.008</v>
      </c>
      <c r="D7" s="1">
        <v>-1.101</v>
      </c>
      <c r="E7" s="1">
        <v>-1.129</v>
      </c>
      <c r="F7" s="2">
        <v>-0.856</v>
      </c>
      <c r="G7" s="1">
        <f t="shared" si="0"/>
        <v>-0.856</v>
      </c>
    </row>
    <row r="8" spans="1:7">
      <c r="A8" s="1">
        <v>2019</v>
      </c>
      <c r="B8" s="1">
        <v>0.965</v>
      </c>
      <c r="C8" s="1">
        <v>0.855</v>
      </c>
      <c r="D8" s="1">
        <v>0.833</v>
      </c>
      <c r="E8" s="2">
        <v>1.007</v>
      </c>
      <c r="F8" s="1">
        <v>1.004</v>
      </c>
      <c r="G8" s="1">
        <f t="shared" si="0"/>
        <v>1.007</v>
      </c>
    </row>
    <row r="9" spans="1:7">
      <c r="A9" s="1">
        <v>2020</v>
      </c>
      <c r="B9" s="1">
        <v>0.295</v>
      </c>
      <c r="C9" s="1">
        <v>0.444</v>
      </c>
      <c r="D9" s="1">
        <v>0.203</v>
      </c>
      <c r="E9" s="2">
        <v>0.68</v>
      </c>
      <c r="F9" s="1">
        <v>0.285</v>
      </c>
      <c r="G9" s="1">
        <f t="shared" si="0"/>
        <v>0.68</v>
      </c>
    </row>
    <row r="10" spans="1:7">
      <c r="A10" s="1">
        <v>2021</v>
      </c>
      <c r="B10" s="2">
        <v>1.21</v>
      </c>
      <c r="C10" s="1">
        <v>0.402</v>
      </c>
      <c r="D10" s="1">
        <v>0.775</v>
      </c>
      <c r="E10" s="1">
        <v>1.101</v>
      </c>
      <c r="F10" s="1">
        <v>0.953</v>
      </c>
      <c r="G10" s="1">
        <f t="shared" si="0"/>
        <v>1.21</v>
      </c>
    </row>
    <row r="11" spans="1:7">
      <c r="A11" s="1">
        <v>2022</v>
      </c>
      <c r="B11" s="1">
        <v>-0.486</v>
      </c>
      <c r="C11" s="1">
        <v>-0.653</v>
      </c>
      <c r="D11" s="1">
        <v>-0.588</v>
      </c>
      <c r="E11" s="2">
        <v>-0.061</v>
      </c>
      <c r="F11" s="1">
        <v>-0.558</v>
      </c>
      <c r="G11" s="1">
        <f t="shared" si="0"/>
        <v>-0.061</v>
      </c>
    </row>
    <row r="12" spans="1:7">
      <c r="A12" s="1">
        <v>2023</v>
      </c>
      <c r="B12" s="1">
        <v>0.607</v>
      </c>
      <c r="C12" s="1">
        <v>0.278</v>
      </c>
      <c r="D12" s="1">
        <v>0.238</v>
      </c>
      <c r="E12" s="1">
        <v>-0.305</v>
      </c>
      <c r="F12" s="2">
        <v>0.668</v>
      </c>
      <c r="G12" s="1">
        <f t="shared" si="0"/>
        <v>0.668</v>
      </c>
    </row>
    <row r="13" spans="1:7">
      <c r="A13" s="1">
        <v>2024</v>
      </c>
      <c r="B13" s="1">
        <v>1.357</v>
      </c>
      <c r="C13" s="2">
        <v>1.577</v>
      </c>
      <c r="D13" s="1">
        <v>0.606</v>
      </c>
      <c r="E13" s="1">
        <v>0.433</v>
      </c>
      <c r="F13" s="1">
        <v>1.347</v>
      </c>
      <c r="G13" s="1">
        <f t="shared" si="0"/>
        <v>1.577</v>
      </c>
    </row>
    <row r="14" spans="1:7">
      <c r="A14" s="1">
        <v>2025</v>
      </c>
      <c r="B14" s="1">
        <v>0.763</v>
      </c>
      <c r="C14" s="1">
        <v>0.436</v>
      </c>
      <c r="D14" s="2">
        <v>1.599</v>
      </c>
      <c r="E14" s="1">
        <v>0.771</v>
      </c>
      <c r="F14" s="1">
        <v>0.516</v>
      </c>
      <c r="G14" s="1">
        <f t="shared" si="0"/>
        <v>1.599</v>
      </c>
    </row>
    <row r="15" spans="1:7">
      <c r="D15" s="2"/>
    </row>
    <row r="16" spans="1:7">
      <c r="A16" s="1" t="s">
        <v>7</v>
      </c>
      <c r="B16" s="4">
        <f>SUM(B3:B14)/12</f>
        <v>0.792166666666667</v>
      </c>
      <c r="C16" s="3">
        <f>SUM(C3:C14)/12</f>
        <v>0.642416666666667</v>
      </c>
      <c r="D16" s="3">
        <f>SUM(D3:D14)/12</f>
        <v>0.48375</v>
      </c>
      <c r="E16" s="3">
        <f>SUM(E3:E14)/12</f>
        <v>0.391166666666667</v>
      </c>
      <c r="F16" s="3">
        <f>SUM(F3:F14)/12</f>
        <v>0.769333333333333</v>
      </c>
    </row>
  </sheetData>
  <mergeCells count="3">
    <mergeCell ref="B1:F1"/>
    <mergeCell ref="A1:A2"/>
    <mergeCell ref="G1:G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E30" sqref="E30"/>
    </sheetView>
  </sheetViews>
  <sheetFormatPr defaultColWidth="9" defaultRowHeight="13.5" outlineLevelCol="7"/>
  <cols>
    <col min="1" max="1" width="16.0088495575221" style="1" customWidth="1"/>
    <col min="2" max="2" width="9.24778761061947" style="5" customWidth="1"/>
    <col min="3" max="3" width="8.53097345132743" style="5" customWidth="1"/>
    <col min="4" max="5" width="8.38938053097345" style="5" customWidth="1"/>
    <col min="6" max="7" width="9.38938053097345" style="5" customWidth="1"/>
    <col min="8" max="8" width="7.53097345132743" customWidth="1"/>
  </cols>
  <sheetData>
    <row r="1" spans="1:8">
      <c r="A1" s="1" t="s">
        <v>0</v>
      </c>
      <c r="B1" s="6" t="s">
        <v>1</v>
      </c>
      <c r="H1" s="1" t="s">
        <v>2</v>
      </c>
    </row>
    <row r="2" spans="1:8"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1"/>
    </row>
    <row r="3" spans="1:8">
      <c r="A3" s="1">
        <v>2005</v>
      </c>
      <c r="B3" s="6">
        <v>-0.706</v>
      </c>
      <c r="D3" s="5">
        <v>-0.918</v>
      </c>
      <c r="E3" s="4">
        <v>-0.317</v>
      </c>
      <c r="H3">
        <f>MAX(B3:G3)</f>
        <v>-0.317</v>
      </c>
    </row>
    <row r="4" spans="1:8">
      <c r="A4" s="1">
        <v>2006</v>
      </c>
      <c r="B4" s="6">
        <v>4.463</v>
      </c>
      <c r="D4" s="4">
        <v>4.621</v>
      </c>
      <c r="E4" s="5">
        <v>3.601</v>
      </c>
      <c r="H4">
        <f t="shared" ref="H4:H23" si="0">MAX(B4:G4)</f>
        <v>4.621</v>
      </c>
    </row>
    <row r="5" spans="1:8">
      <c r="A5" s="1">
        <v>2007</v>
      </c>
      <c r="B5" s="6">
        <v>4.523</v>
      </c>
      <c r="D5" s="4">
        <v>4.882</v>
      </c>
      <c r="E5" s="5">
        <v>4.369</v>
      </c>
      <c r="H5">
        <f t="shared" si="0"/>
        <v>4.882</v>
      </c>
    </row>
    <row r="6" spans="1:8">
      <c r="A6" s="1">
        <v>2008</v>
      </c>
      <c r="B6" s="6">
        <v>-1.44</v>
      </c>
      <c r="D6" s="5">
        <v>-1.422</v>
      </c>
      <c r="E6" s="4">
        <v>-1.112</v>
      </c>
      <c r="H6">
        <f t="shared" si="0"/>
        <v>-1.112</v>
      </c>
    </row>
    <row r="7" spans="1:8">
      <c r="A7" s="1">
        <v>2009</v>
      </c>
      <c r="B7" s="6">
        <v>2.911</v>
      </c>
      <c r="D7" s="5">
        <v>2.879</v>
      </c>
      <c r="E7" s="4">
        <v>3.413</v>
      </c>
      <c r="H7">
        <f t="shared" si="0"/>
        <v>3.413</v>
      </c>
    </row>
    <row r="8" spans="1:8">
      <c r="A8" s="1">
        <v>2010</v>
      </c>
      <c r="B8" s="6">
        <v>-0.682</v>
      </c>
      <c r="D8" s="5">
        <v>-0.62</v>
      </c>
      <c r="E8" s="4">
        <v>0.575</v>
      </c>
      <c r="H8">
        <f t="shared" si="0"/>
        <v>0.575</v>
      </c>
    </row>
    <row r="9" spans="1:8">
      <c r="A9" s="1">
        <v>2011</v>
      </c>
      <c r="B9" s="7">
        <v>-1.36</v>
      </c>
      <c r="D9" s="5">
        <v>-1.379</v>
      </c>
      <c r="E9" s="5">
        <v>-1.482</v>
      </c>
      <c r="H9">
        <f t="shared" si="0"/>
        <v>-1.36</v>
      </c>
    </row>
    <row r="10" spans="1:8">
      <c r="A10" s="1">
        <v>2012</v>
      </c>
      <c r="B10" s="7">
        <v>0.215</v>
      </c>
      <c r="D10" s="5">
        <v>0.079</v>
      </c>
      <c r="E10" s="5">
        <v>-0.223</v>
      </c>
      <c r="H10">
        <f t="shared" si="0"/>
        <v>0.215</v>
      </c>
    </row>
    <row r="11" spans="1:8">
      <c r="A11" s="1">
        <v>2013</v>
      </c>
      <c r="B11" s="6">
        <v>-0.57</v>
      </c>
      <c r="D11" s="5">
        <v>-0.68</v>
      </c>
      <c r="E11" s="4">
        <v>0.706</v>
      </c>
      <c r="H11">
        <f t="shared" si="0"/>
        <v>0.706</v>
      </c>
    </row>
    <row r="12" spans="1:8">
      <c r="A12" s="1">
        <v>2014</v>
      </c>
      <c r="B12" s="5">
        <v>2.727</v>
      </c>
      <c r="C12" s="5">
        <v>2.634</v>
      </c>
      <c r="D12" s="4">
        <v>3.048</v>
      </c>
      <c r="E12" s="5">
        <v>1.692</v>
      </c>
      <c r="F12" s="5">
        <v>1.224</v>
      </c>
      <c r="G12" s="6">
        <v>2.995</v>
      </c>
      <c r="H12">
        <f t="shared" si="0"/>
        <v>3.048</v>
      </c>
    </row>
    <row r="13" spans="1:8">
      <c r="A13" s="1">
        <v>2015</v>
      </c>
      <c r="B13" s="6">
        <v>0.573</v>
      </c>
      <c r="C13" s="5">
        <v>0.563</v>
      </c>
      <c r="D13" s="5">
        <v>0.097</v>
      </c>
      <c r="E13" s="5">
        <v>0.941</v>
      </c>
      <c r="F13" s="4">
        <v>1.554</v>
      </c>
      <c r="G13" s="5">
        <v>0.187</v>
      </c>
      <c r="H13">
        <f t="shared" si="0"/>
        <v>1.554</v>
      </c>
    </row>
    <row r="14" spans="1:8">
      <c r="A14" s="1">
        <v>2016</v>
      </c>
      <c r="B14" s="5">
        <v>-0.497</v>
      </c>
      <c r="C14" s="5">
        <v>-0.599</v>
      </c>
      <c r="D14" s="5">
        <v>-0.47</v>
      </c>
      <c r="E14" s="5">
        <v>-0.522</v>
      </c>
      <c r="F14" s="5">
        <v>-0.533</v>
      </c>
      <c r="G14" s="7">
        <v>-0.387</v>
      </c>
      <c r="H14">
        <f t="shared" si="0"/>
        <v>-0.387</v>
      </c>
    </row>
    <row r="15" spans="1:8">
      <c r="A15" s="1">
        <v>2017</v>
      </c>
      <c r="B15" s="5">
        <v>1.587</v>
      </c>
      <c r="C15" s="5">
        <v>1.289</v>
      </c>
      <c r="D15" s="4">
        <v>2.708</v>
      </c>
      <c r="E15" s="5">
        <v>-0.178</v>
      </c>
      <c r="F15" s="5">
        <v>-0.579</v>
      </c>
      <c r="G15" s="6">
        <v>2.59</v>
      </c>
      <c r="H15">
        <f t="shared" si="0"/>
        <v>2.708</v>
      </c>
    </row>
    <row r="16" spans="1:8">
      <c r="A16" s="1">
        <v>2018</v>
      </c>
      <c r="B16" s="5">
        <v>-1.176</v>
      </c>
      <c r="C16" s="5">
        <v>-1.258</v>
      </c>
      <c r="D16" s="4">
        <v>-1.107</v>
      </c>
      <c r="E16" s="5">
        <v>-1.208</v>
      </c>
      <c r="F16" s="5">
        <v>-1.368</v>
      </c>
      <c r="G16" s="6">
        <v>-1.126</v>
      </c>
      <c r="H16">
        <f t="shared" si="0"/>
        <v>-1.107</v>
      </c>
    </row>
    <row r="17" spans="1:8">
      <c r="A17" s="1">
        <v>2019</v>
      </c>
      <c r="B17" s="5">
        <v>0.726</v>
      </c>
      <c r="C17" s="7">
        <v>1.099</v>
      </c>
      <c r="D17" s="6">
        <v>1.084</v>
      </c>
      <c r="E17" s="6">
        <v>0.464</v>
      </c>
      <c r="F17" s="6">
        <v>1.066</v>
      </c>
      <c r="G17" s="5">
        <v>1.034</v>
      </c>
      <c r="H17">
        <f t="shared" si="0"/>
        <v>1.099</v>
      </c>
    </row>
    <row r="18" spans="1:8">
      <c r="A18" s="1">
        <v>2020</v>
      </c>
      <c r="B18" s="5">
        <v>0.023</v>
      </c>
      <c r="C18" s="5">
        <v>0.217</v>
      </c>
      <c r="D18" s="5">
        <v>0.008</v>
      </c>
      <c r="E18" s="5">
        <v>-0.033</v>
      </c>
      <c r="F18" s="4">
        <v>0.506</v>
      </c>
      <c r="G18" s="6">
        <v>0.264</v>
      </c>
      <c r="H18">
        <f t="shared" si="0"/>
        <v>0.506</v>
      </c>
    </row>
    <row r="19" spans="1:8">
      <c r="A19" s="1">
        <v>2021</v>
      </c>
      <c r="B19" s="6">
        <v>0.644</v>
      </c>
      <c r="C19" s="5">
        <v>0.456</v>
      </c>
      <c r="D19" s="5">
        <v>-0.469</v>
      </c>
      <c r="E19" s="5">
        <v>0.734</v>
      </c>
      <c r="F19" s="4">
        <v>1.314</v>
      </c>
      <c r="G19" s="5">
        <v>0.36</v>
      </c>
      <c r="H19">
        <f t="shared" si="0"/>
        <v>1.314</v>
      </c>
    </row>
    <row r="20" spans="1:8">
      <c r="A20" s="1">
        <v>2022</v>
      </c>
      <c r="B20" s="7">
        <v>-0.421</v>
      </c>
      <c r="C20" s="5">
        <v>-0.675</v>
      </c>
      <c r="D20" s="5">
        <v>-0.533</v>
      </c>
      <c r="E20" s="5">
        <v>-0.443</v>
      </c>
      <c r="F20" s="5">
        <v>-0.699</v>
      </c>
      <c r="G20" s="5">
        <v>-0.55</v>
      </c>
      <c r="H20">
        <f t="shared" si="0"/>
        <v>-0.421</v>
      </c>
    </row>
    <row r="21" spans="1:8">
      <c r="A21" s="1">
        <v>2023</v>
      </c>
      <c r="B21" s="6">
        <v>-0.193</v>
      </c>
      <c r="C21" s="5">
        <v>-0.296</v>
      </c>
      <c r="D21" s="5">
        <v>-0.402</v>
      </c>
      <c r="E21" s="4">
        <v>0.164</v>
      </c>
      <c r="F21" s="5">
        <v>-0.474</v>
      </c>
      <c r="G21" s="5">
        <v>-0.523</v>
      </c>
      <c r="H21">
        <f t="shared" si="0"/>
        <v>0.164</v>
      </c>
    </row>
    <row r="22" spans="1:8">
      <c r="A22" s="1">
        <v>2024</v>
      </c>
      <c r="B22" s="5">
        <v>0.492</v>
      </c>
      <c r="C22" s="5">
        <v>0.554</v>
      </c>
      <c r="D22" s="4">
        <v>1.121</v>
      </c>
      <c r="E22" s="5">
        <v>0.358</v>
      </c>
      <c r="F22" s="5">
        <v>0.312</v>
      </c>
      <c r="G22" s="6">
        <v>0.802</v>
      </c>
      <c r="H22">
        <f t="shared" si="0"/>
        <v>1.121</v>
      </c>
    </row>
    <row r="23" spans="1:8">
      <c r="A23" s="1">
        <v>2025</v>
      </c>
      <c r="B23" s="5">
        <v>-0.365</v>
      </c>
      <c r="C23" s="5">
        <v>0.095</v>
      </c>
      <c r="D23" s="5">
        <v>-0.119</v>
      </c>
      <c r="E23" s="5">
        <v>0.09</v>
      </c>
      <c r="F23" s="4">
        <v>0.179</v>
      </c>
      <c r="G23" s="6">
        <v>0.1</v>
      </c>
      <c r="H23">
        <f t="shared" si="0"/>
        <v>0.179</v>
      </c>
    </row>
    <row r="25" spans="1:8">
      <c r="A25" s="1" t="s">
        <v>8</v>
      </c>
      <c r="B25" s="5">
        <f>SUM(B12:B23)/12</f>
        <v>0.343333333333333</v>
      </c>
      <c r="C25" s="5">
        <f>SUM(C12:C23)/12</f>
        <v>0.339916666666667</v>
      </c>
      <c r="D25" s="5">
        <f>SUM(D12:D23)/12</f>
        <v>0.413833333333333</v>
      </c>
      <c r="E25" s="5">
        <f>SUM(E12:E23)/12</f>
        <v>0.171583333333333</v>
      </c>
      <c r="F25" s="5">
        <f>SUM(F12:F23)/12</f>
        <v>0.2085</v>
      </c>
      <c r="G25" s="7">
        <f>SUM(G12:G23)/12</f>
        <v>0.478833333333333</v>
      </c>
    </row>
    <row r="26" spans="1:8">
      <c r="A26" s="1" t="s">
        <v>46</v>
      </c>
      <c r="B26" s="5">
        <f>SUM(B3:B23)/21</f>
        <v>0.546380952380952</v>
      </c>
      <c r="D26" s="4">
        <f>SUM(D3:D23)/21</f>
        <v>0.590857142857143</v>
      </c>
      <c r="E26" s="5">
        <f>SUM(E3:E23)/21</f>
        <v>0.551857142857143</v>
      </c>
    </row>
  </sheetData>
  <mergeCells count="3">
    <mergeCell ref="B1:G1"/>
    <mergeCell ref="A1:A2"/>
    <mergeCell ref="H1:H2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E27" sqref="E27"/>
    </sheetView>
  </sheetViews>
  <sheetFormatPr defaultColWidth="9.02654867256637" defaultRowHeight="13.5" outlineLevelCol="7"/>
  <cols>
    <col min="1" max="1" width="17.5309734513274" style="1" customWidth="1"/>
    <col min="2" max="2" width="9.24778761061947" style="1" customWidth="1"/>
    <col min="3" max="4" width="12.5132743362832" style="1" customWidth="1"/>
    <col min="5" max="5" width="13.646017699115" style="1" customWidth="1"/>
    <col min="6" max="6" width="12.5132743362832" style="1" customWidth="1"/>
    <col min="7" max="7" width="13.646017699115" style="1" customWidth="1"/>
  </cols>
  <sheetData>
    <row r="1" spans="1:8">
      <c r="A1" s="1" t="s">
        <v>0</v>
      </c>
      <c r="B1" s="1" t="s">
        <v>1</v>
      </c>
      <c r="H1" s="1" t="s">
        <v>2</v>
      </c>
    </row>
    <row r="2" spans="1:8"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/>
    </row>
    <row r="3" spans="1:8">
      <c r="A3" s="1">
        <v>2005</v>
      </c>
      <c r="C3" s="2">
        <v>-0.723</v>
      </c>
      <c r="H3">
        <f>MAX(B3:G3)</f>
        <v>-0.723</v>
      </c>
    </row>
    <row r="4" spans="1:8">
      <c r="A4" s="1">
        <v>2006</v>
      </c>
      <c r="B4" s="2">
        <v>4.234</v>
      </c>
      <c r="C4" s="1">
        <v>3.661</v>
      </c>
      <c r="F4" s="1">
        <v>3.86</v>
      </c>
      <c r="H4">
        <f t="shared" ref="H4:H23" si="0">MAX(B4:G4)</f>
        <v>4.234</v>
      </c>
    </row>
    <row r="5" spans="1:8">
      <c r="A5" s="1">
        <v>2007</v>
      </c>
      <c r="B5" s="1">
        <v>4.544</v>
      </c>
      <c r="C5" s="2">
        <v>4.649</v>
      </c>
      <c r="F5" s="1">
        <v>4.455</v>
      </c>
      <c r="H5">
        <f t="shared" si="0"/>
        <v>4.649</v>
      </c>
    </row>
    <row r="6" spans="1:8">
      <c r="A6" s="1">
        <v>2008</v>
      </c>
      <c r="B6" s="1">
        <v>-1.304</v>
      </c>
      <c r="C6" s="1">
        <v>-1.371</v>
      </c>
      <c r="F6" s="2">
        <v>-1.206</v>
      </c>
      <c r="H6">
        <f t="shared" si="0"/>
        <v>-1.206</v>
      </c>
    </row>
    <row r="7" spans="1:8">
      <c r="A7" s="1">
        <v>2009</v>
      </c>
      <c r="B7" s="1">
        <v>2.934</v>
      </c>
      <c r="C7" s="1">
        <v>2.878</v>
      </c>
      <c r="F7" s="2">
        <v>3.22</v>
      </c>
      <c r="H7">
        <f t="shared" si="0"/>
        <v>3.22</v>
      </c>
    </row>
    <row r="8" spans="1:8">
      <c r="A8" s="1">
        <v>2010</v>
      </c>
      <c r="B8" s="2">
        <v>0.097</v>
      </c>
      <c r="C8" s="1">
        <v>-0.549</v>
      </c>
      <c r="F8" s="1">
        <v>-0.414</v>
      </c>
      <c r="H8">
        <f t="shared" si="0"/>
        <v>0.097</v>
      </c>
    </row>
    <row r="9" spans="1:8">
      <c r="A9" s="1">
        <v>2011</v>
      </c>
      <c r="B9" s="2">
        <v>-1.222</v>
      </c>
      <c r="C9" s="1">
        <v>-1.27</v>
      </c>
      <c r="F9" s="1">
        <v>-1.249</v>
      </c>
      <c r="H9">
        <f t="shared" si="0"/>
        <v>-1.222</v>
      </c>
    </row>
    <row r="10" spans="1:8">
      <c r="A10" s="1">
        <v>2012</v>
      </c>
      <c r="B10" s="1">
        <v>-0.102</v>
      </c>
      <c r="C10" s="1">
        <v>-0.074</v>
      </c>
      <c r="F10" s="2">
        <v>0.007</v>
      </c>
      <c r="H10">
        <f t="shared" si="0"/>
        <v>0.007</v>
      </c>
    </row>
    <row r="11" spans="1:8">
      <c r="A11" s="1">
        <v>2013</v>
      </c>
      <c r="B11" s="2">
        <v>0.353</v>
      </c>
      <c r="C11" s="1">
        <v>-0.44</v>
      </c>
      <c r="F11" s="1">
        <v>0.043</v>
      </c>
      <c r="H11">
        <f t="shared" si="0"/>
        <v>0.353</v>
      </c>
    </row>
    <row r="12" spans="1:8">
      <c r="A12" s="1">
        <v>2014</v>
      </c>
      <c r="B12" s="1">
        <v>2.742</v>
      </c>
      <c r="C12" s="1">
        <v>3.503</v>
      </c>
      <c r="D12" s="1">
        <v>2.885</v>
      </c>
      <c r="E12" s="1">
        <v>1.839</v>
      </c>
      <c r="F12" s="1">
        <v>3.546</v>
      </c>
      <c r="G12" s="2">
        <v>3.584</v>
      </c>
      <c r="H12">
        <f t="shared" si="0"/>
        <v>3.584</v>
      </c>
    </row>
    <row r="13" spans="1:8">
      <c r="A13" s="1">
        <v>2015</v>
      </c>
      <c r="B13" s="1">
        <v>0.25</v>
      </c>
      <c r="C13" s="1">
        <v>0.265</v>
      </c>
      <c r="D13" s="1">
        <v>0.706</v>
      </c>
      <c r="E13" s="2">
        <v>1.329</v>
      </c>
      <c r="F13" s="1">
        <v>0.571</v>
      </c>
      <c r="G13" s="1">
        <v>0.125</v>
      </c>
      <c r="H13">
        <f t="shared" si="0"/>
        <v>1.329</v>
      </c>
    </row>
    <row r="14" spans="1:8">
      <c r="A14" s="1">
        <v>2016</v>
      </c>
      <c r="B14" s="1">
        <v>-0.389</v>
      </c>
      <c r="C14" s="1">
        <v>-0.153</v>
      </c>
      <c r="D14" s="1">
        <v>-0.299</v>
      </c>
      <c r="E14" s="1">
        <v>-0.347</v>
      </c>
      <c r="F14" s="1">
        <v>-0.22</v>
      </c>
      <c r="G14" s="2">
        <v>-0.15</v>
      </c>
      <c r="H14">
        <f t="shared" si="0"/>
        <v>-0.15</v>
      </c>
    </row>
    <row r="15" spans="1:8">
      <c r="A15" s="1">
        <v>2017</v>
      </c>
      <c r="B15" s="1">
        <v>1.86</v>
      </c>
      <c r="C15" s="1">
        <v>2.091</v>
      </c>
      <c r="D15" s="1">
        <v>-0.563</v>
      </c>
      <c r="E15" s="1">
        <v>-0.853</v>
      </c>
      <c r="F15" s="1">
        <v>1.202</v>
      </c>
      <c r="G15" s="2">
        <v>2.41</v>
      </c>
      <c r="H15">
        <f t="shared" si="0"/>
        <v>2.41</v>
      </c>
    </row>
    <row r="16" spans="1:8">
      <c r="A16" s="1">
        <v>2018</v>
      </c>
      <c r="B16" s="1">
        <v>-1.165</v>
      </c>
      <c r="C16" s="1">
        <v>-1.252</v>
      </c>
      <c r="D16" s="1">
        <v>-1.149</v>
      </c>
      <c r="E16" s="1">
        <v>-1.46</v>
      </c>
      <c r="F16" s="1">
        <v>-1.168</v>
      </c>
      <c r="G16" s="2">
        <v>-0.909</v>
      </c>
      <c r="H16">
        <f t="shared" si="0"/>
        <v>-0.909</v>
      </c>
    </row>
    <row r="17" spans="1:8">
      <c r="A17" s="1">
        <v>2019</v>
      </c>
      <c r="B17" s="1">
        <v>0.82</v>
      </c>
      <c r="C17" s="1">
        <v>0.786</v>
      </c>
      <c r="D17" s="1">
        <v>0.66</v>
      </c>
      <c r="E17" s="2">
        <v>1.086</v>
      </c>
      <c r="F17" s="1">
        <v>0.586</v>
      </c>
      <c r="G17" s="1">
        <v>0.603</v>
      </c>
      <c r="H17">
        <f t="shared" si="0"/>
        <v>1.086</v>
      </c>
    </row>
    <row r="18" spans="1:8">
      <c r="A18" s="1">
        <v>2020</v>
      </c>
      <c r="B18" s="1">
        <v>-0.291</v>
      </c>
      <c r="C18" s="1">
        <v>-0.552</v>
      </c>
      <c r="D18" s="2">
        <v>0.36</v>
      </c>
      <c r="E18" s="1">
        <v>0.228</v>
      </c>
      <c r="F18" s="1">
        <v>-0.264</v>
      </c>
      <c r="G18" s="1">
        <v>-0.396</v>
      </c>
      <c r="H18">
        <f t="shared" si="0"/>
        <v>0.36</v>
      </c>
    </row>
    <row r="19" spans="1:8">
      <c r="A19" s="1">
        <v>2021</v>
      </c>
      <c r="B19" s="1">
        <v>0.442</v>
      </c>
      <c r="C19" s="1">
        <v>0.182</v>
      </c>
      <c r="D19" s="2">
        <v>1.81</v>
      </c>
      <c r="E19" s="1">
        <v>1.186</v>
      </c>
      <c r="F19" s="1">
        <v>0.815</v>
      </c>
      <c r="G19" s="1">
        <v>0.828</v>
      </c>
      <c r="H19">
        <f t="shared" si="0"/>
        <v>1.81</v>
      </c>
    </row>
    <row r="20" spans="1:8">
      <c r="A20" s="1">
        <v>2022</v>
      </c>
      <c r="B20" s="2">
        <v>-0.25</v>
      </c>
      <c r="C20" s="1">
        <v>-0.551</v>
      </c>
      <c r="D20" s="1">
        <v>-0.413</v>
      </c>
      <c r="E20" s="1">
        <v>-0.478</v>
      </c>
      <c r="F20" s="1">
        <v>-0.4</v>
      </c>
      <c r="G20" s="1">
        <v>-0.409</v>
      </c>
      <c r="H20">
        <f t="shared" si="0"/>
        <v>-0.25</v>
      </c>
    </row>
    <row r="21" spans="1:8">
      <c r="A21" s="1">
        <v>2023</v>
      </c>
      <c r="B21" s="1">
        <v>0.273</v>
      </c>
      <c r="C21" s="2">
        <v>0.554</v>
      </c>
      <c r="D21" s="1">
        <v>0.203</v>
      </c>
      <c r="E21" s="1">
        <v>0.144</v>
      </c>
      <c r="F21" s="1">
        <v>0.506</v>
      </c>
      <c r="G21" s="1">
        <v>0.34</v>
      </c>
      <c r="H21">
        <f t="shared" si="0"/>
        <v>0.554</v>
      </c>
    </row>
    <row r="22" spans="1:8">
      <c r="A22" s="1">
        <v>2024</v>
      </c>
      <c r="B22" s="1">
        <v>0.784</v>
      </c>
      <c r="C22" s="2">
        <v>1.352</v>
      </c>
      <c r="D22" s="1">
        <v>0.654</v>
      </c>
      <c r="E22" s="1">
        <v>0.172</v>
      </c>
      <c r="F22" s="1">
        <v>0.513</v>
      </c>
      <c r="G22" s="1">
        <v>1.31</v>
      </c>
      <c r="H22">
        <f t="shared" si="0"/>
        <v>1.352</v>
      </c>
    </row>
    <row r="23" spans="1:8">
      <c r="A23" s="1">
        <v>2025</v>
      </c>
      <c r="B23" s="1">
        <v>-0.221</v>
      </c>
      <c r="C23" s="1">
        <v>-0.82</v>
      </c>
      <c r="D23" s="2">
        <v>0.158</v>
      </c>
      <c r="E23" s="1">
        <v>0.121</v>
      </c>
      <c r="F23" s="1">
        <v>-0.328</v>
      </c>
      <c r="G23" s="1">
        <v>-0.26</v>
      </c>
      <c r="H23">
        <f t="shared" si="0"/>
        <v>0.158</v>
      </c>
    </row>
    <row r="25" spans="1:8">
      <c r="A25" s="1" t="s">
        <v>53</v>
      </c>
      <c r="B25" s="3">
        <f>SUM(B12:B23)/12</f>
        <v>0.404583333333333</v>
      </c>
      <c r="C25" s="3">
        <f>SUM(C12:C23)/12</f>
        <v>0.450416666666667</v>
      </c>
      <c r="D25" s="3">
        <f>SUM(D12:D23)/12</f>
        <v>0.417666666666667</v>
      </c>
      <c r="E25" s="3">
        <f>SUM(E12:E23)/12</f>
        <v>0.24725</v>
      </c>
      <c r="F25" s="3">
        <f>SUM(F12:F23)/12</f>
        <v>0.446583333333333</v>
      </c>
      <c r="G25" s="4">
        <f>SUM(G12:G23)/12</f>
        <v>0.589666666666667</v>
      </c>
    </row>
    <row r="26" spans="1:8">
      <c r="A26" s="1" t="s">
        <v>12</v>
      </c>
      <c r="B26" s="4">
        <f>SUM(B4:B23)/20</f>
        <v>0.71945</v>
      </c>
      <c r="C26" s="3">
        <f>SUM(C4:C23)/20</f>
        <v>0.64445</v>
      </c>
      <c r="D26" s="3"/>
      <c r="E26" s="3"/>
      <c r="F26" s="3">
        <f>SUM(F4:F23)/20</f>
        <v>0.70375</v>
      </c>
      <c r="G26" s="3"/>
    </row>
  </sheetData>
  <mergeCells count="3">
    <mergeCell ref="B1:G1"/>
    <mergeCell ref="A1:A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宽基系列</vt:lpstr>
      <vt:lpstr>A系列</vt:lpstr>
      <vt:lpstr>科创板系列</vt:lpstr>
      <vt:lpstr>创业板系列</vt:lpstr>
      <vt:lpstr>行业系列</vt:lpstr>
      <vt:lpstr>现金流系列</vt:lpstr>
      <vt:lpstr>红利系列</vt:lpstr>
      <vt:lpstr>红利低波系列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2023-05-12T11:15:00Z</dcterms:created>
  <dcterms:modified xsi:type="dcterms:W3CDTF">2026-02-01T14:23:54Z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29BCB942D1AE41FE8862D0B3207CD89E_13</vt:lpwstr>
  </property>
  <property fmtid="{D5CDD505-2E9C-101B-9397-08002B2CF9AE}" pid="4" name="CalculationRule">
    <vt:i4>0</vt:i4>
  </property>
</Properties>
</file>