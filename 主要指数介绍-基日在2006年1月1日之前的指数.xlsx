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9555"/>
  </bookViews>
  <sheets>
    <sheet name="主要指数介绍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<sst xmlns="http://schemas.openxmlformats.org/spreadsheetml/2006/main" count="138" uniqueCount="138">
  <si>
    <t>指数简称</t>
  </si>
  <si>
    <t>指数代码</t>
  </si>
  <si>
    <t>基日</t>
  </si>
  <si>
    <t>发布日期</t>
  </si>
  <si>
    <t>2014年收益</t>
  </si>
  <si>
    <t>2015年收益</t>
  </si>
  <si>
    <t>2016年收益</t>
  </si>
  <si>
    <t>2017年收益</t>
  </si>
  <si>
    <t>2018年收益</t>
  </si>
  <si>
    <t>2019年收益</t>
  </si>
  <si>
    <t>2020年收益</t>
  </si>
  <si>
    <t>2021年收益</t>
  </si>
  <si>
    <t>2022年收益</t>
  </si>
  <si>
    <t>2023年收益</t>
  </si>
  <si>
    <t>2024年收益</t>
  </si>
  <si>
    <t>2025年收益</t>
  </si>
  <si>
    <t>2014以来全部年份年平均收益</t>
  </si>
  <si>
    <t>2014年波动率</t>
  </si>
  <si>
    <t>2015年波动率</t>
  </si>
  <si>
    <t>2016年波动率</t>
  </si>
  <si>
    <t>2017年波动率</t>
  </si>
  <si>
    <t>2018年波动率</t>
  </si>
  <si>
    <t>2019年波动率</t>
  </si>
  <si>
    <t>2020年波动率</t>
  </si>
  <si>
    <t>2021年波动率</t>
  </si>
  <si>
    <t>2022年波动率</t>
  </si>
  <si>
    <t>2023年波动率</t>
  </si>
  <si>
    <t>2024年波动率</t>
  </si>
  <si>
    <t>2025年波动率</t>
  </si>
  <si>
    <t>近1年年化收益率</t>
  </si>
  <si>
    <t>近3年年化收益率</t>
  </si>
  <si>
    <t>近5年年化收益率</t>
  </si>
  <si>
    <t>近7年年化收益率</t>
  </si>
  <si>
    <t>近9年年化收益率</t>
  </si>
  <si>
    <t>近11年年化收益率</t>
  </si>
  <si>
    <t>近12年年化收益率</t>
  </si>
  <si>
    <t>中证现金流</t>
  </si>
  <si>
    <t>半导体</t>
  </si>
  <si>
    <t>H30184</t>
  </si>
  <si>
    <t xml:space="preserve">中证白酒   </t>
  </si>
  <si>
    <t>A500现金流</t>
  </si>
  <si>
    <t>中证红利质量</t>
  </si>
  <si>
    <t>消费红利</t>
  </si>
  <si>
    <t>H30094</t>
  </si>
  <si>
    <t>1000现金流</t>
  </si>
  <si>
    <t>500现金流</t>
  </si>
  <si>
    <t>500红利质量</t>
  </si>
  <si>
    <t>300红利质量</t>
  </si>
  <si>
    <t>1000红利质量</t>
  </si>
  <si>
    <t>A500红利质量</t>
  </si>
  <si>
    <t>300现金流</t>
  </si>
  <si>
    <t>800 通信</t>
  </si>
  <si>
    <t>000936</t>
  </si>
  <si>
    <t>500红利低波</t>
  </si>
  <si>
    <t xml:space="preserve">中证2000 </t>
  </si>
  <si>
    <t xml:space="preserve">创业板综 </t>
  </si>
  <si>
    <t>A500红利低波</t>
  </si>
  <si>
    <t>CS稀金属</t>
  </si>
  <si>
    <t xml:space="preserve">有色金属   </t>
  </si>
  <si>
    <t>000819</t>
  </si>
  <si>
    <t xml:space="preserve">家用电器   </t>
  </si>
  <si>
    <t xml:space="preserve">创业200 </t>
  </si>
  <si>
    <t>红利低波100</t>
  </si>
  <si>
    <t>800 消费</t>
  </si>
  <si>
    <t>000932</t>
  </si>
  <si>
    <t xml:space="preserve">中证新能   </t>
  </si>
  <si>
    <t>300红利低波</t>
  </si>
  <si>
    <t>A500红利</t>
  </si>
  <si>
    <t xml:space="preserve">创业板50 </t>
  </si>
  <si>
    <t>1000红利低波</t>
  </si>
  <si>
    <t>1000红利</t>
  </si>
  <si>
    <t>800 信息</t>
  </si>
  <si>
    <t>000935</t>
  </si>
  <si>
    <t xml:space="preserve">创业板指 </t>
  </si>
  <si>
    <t>红利低波</t>
  </si>
  <si>
    <t>H30269</t>
  </si>
  <si>
    <t>中证红利</t>
  </si>
  <si>
    <t>000922</t>
  </si>
  <si>
    <t>800 材料</t>
  </si>
  <si>
    <t>000929</t>
  </si>
  <si>
    <t xml:space="preserve">大宗商品   </t>
  </si>
  <si>
    <t>000979</t>
  </si>
  <si>
    <t>国企红利</t>
  </si>
  <si>
    <t>000824</t>
  </si>
  <si>
    <t>300红利</t>
  </si>
  <si>
    <t>000821</t>
  </si>
  <si>
    <t>红利200</t>
  </si>
  <si>
    <t xml:space="preserve">中证军工   </t>
  </si>
  <si>
    <t>中证汽车</t>
  </si>
  <si>
    <t xml:space="preserve">机器人   </t>
  </si>
  <si>
    <t>H30590</t>
  </si>
  <si>
    <t xml:space="preserve">中证A500 </t>
  </si>
  <si>
    <t>000510</t>
  </si>
  <si>
    <t xml:space="preserve">光伏产业   </t>
  </si>
  <si>
    <t>500红利</t>
  </si>
  <si>
    <t>000822</t>
  </si>
  <si>
    <t xml:space="preserve">中证A100 </t>
  </si>
  <si>
    <t>000903</t>
  </si>
  <si>
    <t>央企红利</t>
  </si>
  <si>
    <t>000825</t>
  </si>
  <si>
    <t xml:space="preserve">中证银行   </t>
  </si>
  <si>
    <t>中证全指</t>
  </si>
  <si>
    <t>000985</t>
  </si>
  <si>
    <t xml:space="preserve">中证国防   </t>
  </si>
  <si>
    <t xml:space="preserve">沪深300 </t>
  </si>
  <si>
    <t>000300</t>
  </si>
  <si>
    <t>800 金融</t>
  </si>
  <si>
    <t>H30086</t>
  </si>
  <si>
    <t xml:space="preserve">中证500 </t>
  </si>
  <si>
    <t>000905</t>
  </si>
  <si>
    <t>800 可选</t>
  </si>
  <si>
    <t>000931</t>
  </si>
  <si>
    <t xml:space="preserve">中证煤炭   </t>
  </si>
  <si>
    <t xml:space="preserve">中证1000 </t>
  </si>
  <si>
    <t>000852</t>
  </si>
  <si>
    <t>中证数据</t>
  </si>
  <si>
    <t>800 公用</t>
  </si>
  <si>
    <t>000937</t>
  </si>
  <si>
    <t>800 工业</t>
  </si>
  <si>
    <t>000930</t>
  </si>
  <si>
    <t>中证环保</t>
  </si>
  <si>
    <t>000827</t>
  </si>
  <si>
    <t>CS生医</t>
  </si>
  <si>
    <t xml:space="preserve">中证钢铁   </t>
  </si>
  <si>
    <t xml:space="preserve">证券公司   </t>
  </si>
  <si>
    <t xml:space="preserve">中证农业   </t>
  </si>
  <si>
    <t>000949</t>
  </si>
  <si>
    <t xml:space="preserve">中证旅游   </t>
  </si>
  <si>
    <t>800 能源</t>
  </si>
  <si>
    <t>000928</t>
  </si>
  <si>
    <t xml:space="preserve">中证软件   </t>
  </si>
  <si>
    <t>中证医疗</t>
  </si>
  <si>
    <t>800 医卫</t>
  </si>
  <si>
    <t>000933</t>
  </si>
  <si>
    <t xml:space="preserve">养老产业   </t>
  </si>
  <si>
    <t xml:space="preserve">中证中药   </t>
  </si>
  <si>
    <t>中证传媒</t>
  </si>
  <si>
    <t>800 地产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</si>
</sst>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0%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sz val="12"/>
      <color theme="1"/>
      <name val="宋体"/>
      <charset val="134"/>
      <scheme val="minor"/>
    </font>
    <font>
      <sz val="10.5"/>
      <color rgb="FF040C35"/>
      <name val="宋体"/>
      <charset val="134"/>
      <scheme val="minor"/>
    </font>
    <font>
      <sz val="11"/>
      <color indexed="8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horizontal="left" vertical="center" wrapText="1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76" fontId="0" fillId="0" borderId="0" xfId="0" applyNumberFormat="1" applyFont="1" applyAlignment="1">
      <alignment horizontal="left" vertical="center" wrapText="1"/>
    </xf>
    <xf numFmtId="177" fontId="0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4" fontId="3" fillId="0" borderId="0" xfId="0" applyNumberFormat="1" applyFont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0" fontId="3" fillId="0" borderId="0" xfId="0" applyNumberFormat="1" applyFont="1" applyAlignment="1">
      <alignment horizontal="left" vertical="center" wrapText="1"/>
    </xf>
    <xf numFmtId="10" fontId="0" fillId="0" borderId="0" xfId="0" applyNumberFormat="1" applyFont="1" applyAlignment="1">
      <alignment horizontal="left" vertical="center" wrapText="1"/>
    </xf>
    <xf numFmtId="10" fontId="0" fillId="0" borderId="0" xfId="0" applyNumberFormat="1" applyFont="1" applyFill="1" applyAlignment="1">
      <alignment horizontal="left" vertical="center"/>
    </xf>
    <xf numFmtId="10" fontId="4" fillId="0" borderId="0" xfId="0" applyNumberFormat="1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177" fontId="6" fillId="0" borderId="0" xfId="0" applyNumberFormat="1" applyFont="1" applyFill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14" fontId="0" fillId="0" borderId="0" xfId="0" applyNumberFormat="1" applyFont="1" applyFill="1" applyBorder="1" applyAlignment="1" applyProtection="1">
      <alignment horizontal="left" vertical="center" wrapText="1"/>
    </xf>
    <xf numFmtId="14" fontId="0" fillId="0" borderId="0" xfId="0" applyNumberFormat="1" applyFont="1" applyAlignment="1">
      <alignment horizontal="left" vertical="center" wrapText="1"/>
    </xf>
    <xf numFmtId="10" fontId="0" fillId="0" borderId="0" xfId="0" applyNumberFormat="1" applyFont="1" applyFill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0" fillId="0" borderId="0" xfId="0" applyFont="1" applyAlignment="1">
      <alignment horizontal="left" vertical="center"/>
    </xf>
    <xf numFmtId="14" fontId="0" fillId="0" borderId="0" xfId="0" applyNumberFormat="1" applyFont="1" applyAlignment="1">
      <alignment horizontal="left" vertical="center"/>
    </xf>
    <xf numFmtId="14" fontId="5" fillId="0" borderId="0" xfId="0" applyNumberFormat="1" applyFont="1" applyAlignment="1">
      <alignment horizontal="left" vertical="center"/>
    </xf>
    <xf numFmtId="14" fontId="5" fillId="0" borderId="0" xfId="0" applyNumberFormat="1" applyFont="1" applyAlignment="1">
      <alignment horizontal="left" vertical="center" wrapText="1"/>
    </xf>
    <xf numFmtId="10" fontId="6" fillId="0" borderId="0" xfId="0" applyNumberFormat="1" applyFont="1" applyFill="1" applyAlignment="1">
      <alignment horizontal="left" vertical="center"/>
    </xf>
    <xf numFmtId="10" fontId="3" fillId="0" borderId="0" xfId="0" applyNumberFormat="1" applyFont="1" applyFill="1" applyBorder="1" applyAlignment="1" applyProtection="1">
      <alignment horizontal="left" vertical="center"/>
    </xf>
    <xf numFmtId="0" fontId="4" fillId="0" borderId="0" xfId="0" applyNumberFormat="1" applyFont="1" applyFill="1" applyAlignment="1">
      <alignment horizontal="left" vertical="center"/>
    </xf>
    <xf numFmtId="10" fontId="3" fillId="0" borderId="0" xfId="0" applyNumberFormat="1" applyFont="1" applyFill="1" applyAlignment="1" applyProtection="1">
      <alignment horizontal="left" vertical="center"/>
    </xf>
    <xf numFmtId="176" fontId="2" fillId="0" borderId="0" xfId="0" applyNumberFormat="1" applyFont="1" applyAlignment="1">
      <alignment horizontal="left" vertical="center" wrapText="1"/>
    </xf>
    <xf numFmtId="10" fontId="2" fillId="0" borderId="0" xfId="0" applyNumberFormat="1" applyFont="1" applyAlignment="1">
      <alignment horizontal="left" vertical="center" wrapText="1"/>
    </xf>
    <xf numFmtId="10" fontId="2" fillId="0" borderId="0" xfId="0" applyNumberFormat="1" applyFont="1" applyFill="1" applyAlignment="1">
      <alignment horizontal="left" vertical="center"/>
    </xf>
    <xf numFmtId="177" fontId="2" fillId="0" borderId="0" xfId="0" applyNumberFormat="1" applyFont="1" applyFill="1" applyAlignment="1">
      <alignment horizontal="left" vertical="center"/>
    </xf>
    <xf numFmtId="0" fontId="0" fillId="0" borderId="0" xfId="0" applyFont="1" applyAlignment="1" quotePrefix="1">
      <alignment horizontal="left" vertical="center"/>
    </xf>
    <xf numFmtId="0" fontId="0" fillId="0" borderId="0" xfId="0" applyFont="1" applyFill="1" applyAlignment="1" quotePrefix="1">
      <alignment horizontal="left" vertical="center"/>
    </xf>
    <xf numFmtId="0" fontId="0" fillId="0" borderId="0" xfId="0" applyFont="1" applyAlignment="1" quotePrefix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2449"/>
  <sheetViews>
    <sheetView tabSelected="1" zoomScale="90" zoomScaleNormal="90" workbookViewId="0">
      <pane xSplit="4" ySplit="1" topLeftCell="AG50" activePane="bottomRight" state="frozen"/>
      <selection/>
      <selection pane="topRight"/>
      <selection pane="bottomLeft"/>
      <selection pane="bottomRight" activeCell="AK59" sqref="AK59"/>
    </sheetView>
  </sheetViews>
  <sheetFormatPr defaultColWidth="9.02654867256637" defaultRowHeight="13.5"/>
  <cols>
    <col min="1" max="1" width="12.5132743362832" style="2" customWidth="1"/>
    <col min="2" max="2" width="9.36283185840708" style="2" customWidth="1"/>
    <col min="3" max="4" width="11.7256637168142" style="6" customWidth="1"/>
    <col min="5" max="5" width="12.5486725663717" style="6" customWidth="1"/>
    <col min="6" max="16" width="12.5486725663717" style="2" customWidth="1"/>
    <col min="17" max="17" width="9.56637168141593" style="2" customWidth="1"/>
    <col min="18" max="18" width="26.9823008849558" style="7" customWidth="1"/>
    <col min="19" max="31" width="13.7433628318584" style="2" customWidth="1"/>
    <col min="32" max="32" width="9.02654867256637" style="2" customWidth="1"/>
    <col min="33" max="39" width="18.5221238938053" style="2" customWidth="1"/>
    <col min="40" max="16384" width="9.02654867256637" style="2"/>
  </cols>
  <sheetData>
    <row r="1" s="1" customFormat="1" spans="1:40">
      <c r="A1" s="1" t="s">
        <v>0</v>
      </c>
      <c r="B1" s="1" t="s">
        <v>1</v>
      </c>
      <c r="C1" s="8" t="s">
        <v>2</v>
      </c>
      <c r="D1" s="8" t="s">
        <v>3</v>
      </c>
      <c r="E1" s="9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/>
      <c r="R1" s="10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35</v>
      </c>
    </row>
    <row r="2" s="2" customFormat="1" ht="20" customHeight="1" spans="1:40">
      <c r="A2" s="5" t="s">
        <v>36</v>
      </c>
      <c r="B2" s="5">
        <v>932365</v>
      </c>
      <c r="C2" s="11">
        <v>41639</v>
      </c>
      <c r="D2" s="12">
        <v>45637</v>
      </c>
      <c r="E2" s="13">
        <v>0.5227</v>
      </c>
      <c r="F2" s="13">
        <v>0.1722</v>
      </c>
      <c r="G2" s="13">
        <v>-0.0387</v>
      </c>
      <c r="H2" s="13">
        <v>0.3619</v>
      </c>
      <c r="I2" s="13">
        <v>-0.1816</v>
      </c>
      <c r="J2" s="13">
        <v>0.2139</v>
      </c>
      <c r="K2" s="13">
        <v>0.0965</v>
      </c>
      <c r="L2" s="13">
        <v>0.3079</v>
      </c>
      <c r="M2" s="13">
        <v>-0.089</v>
      </c>
      <c r="N2" s="13">
        <v>0.1214</v>
      </c>
      <c r="O2" s="13">
        <v>0.3549</v>
      </c>
      <c r="P2" s="13">
        <v>0.1429</v>
      </c>
      <c r="Q2" s="13"/>
      <c r="R2" s="14">
        <f>SUM(E2:P2)/12</f>
        <v>0.165416666666667</v>
      </c>
      <c r="S2" s="15"/>
      <c r="T2" s="15">
        <v>0.1823</v>
      </c>
      <c r="U2" s="15">
        <v>0.4111</v>
      </c>
      <c r="V2" s="15">
        <v>0.2134</v>
      </c>
      <c r="W2" s="15">
        <v>0.1081</v>
      </c>
      <c r="X2" s="15">
        <v>0.2112</v>
      </c>
      <c r="Y2" s="15">
        <v>0.1905</v>
      </c>
      <c r="Z2" s="15">
        <v>0.2254</v>
      </c>
      <c r="AA2" s="15">
        <v>0.2296</v>
      </c>
      <c r="AB2" s="15">
        <v>0.2449</v>
      </c>
      <c r="AC2" s="15">
        <v>0.1507</v>
      </c>
      <c r="AD2" s="15">
        <v>0.2394</v>
      </c>
      <c r="AE2" s="15">
        <v>0.1479</v>
      </c>
      <c r="AF2" s="15"/>
      <c r="AG2" s="16">
        <v>0.142866750845038</v>
      </c>
      <c r="AH2" s="16">
        <v>0.201967809604178</v>
      </c>
      <c r="AI2" s="16">
        <v>0.156529597458661</v>
      </c>
      <c r="AJ2" s="16">
        <v>0.155732157749657</v>
      </c>
      <c r="AK2" s="16">
        <v>0.13272845654225</v>
      </c>
      <c r="AL2" s="16">
        <v>0.119443475844628</v>
      </c>
      <c r="AM2" s="16">
        <f>((1+E2)*(1+AL2)^11)^(1/12)-1</f>
        <v>0.148514593201985</v>
      </c>
      <c r="AN2" s="5"/>
    </row>
    <row r="3" ht="15.75" spans="1:40">
      <c r="A3" s="17" t="s">
        <v>37</v>
      </c>
      <c r="B3" s="2" t="s">
        <v>38</v>
      </c>
      <c r="C3" s="6">
        <v>41470</v>
      </c>
      <c r="D3" s="6">
        <v>38352</v>
      </c>
      <c r="E3" s="15">
        <v>0.2406</v>
      </c>
      <c r="F3" s="15">
        <v>0.6954</v>
      </c>
      <c r="G3" s="15">
        <v>-0.1945</v>
      </c>
      <c r="H3" s="15">
        <v>0.2655</v>
      </c>
      <c r="I3" s="15">
        <v>-0.4416</v>
      </c>
      <c r="J3" s="15">
        <v>1.0633</v>
      </c>
      <c r="K3" s="15">
        <v>0.4493</v>
      </c>
      <c r="L3" s="15">
        <v>0.2543</v>
      </c>
      <c r="M3" s="15">
        <v>-0.373</v>
      </c>
      <c r="N3" s="15">
        <v>-0.021</v>
      </c>
      <c r="O3" s="15">
        <v>0.2604</v>
      </c>
      <c r="P3" s="15">
        <v>0.4587</v>
      </c>
      <c r="Q3" s="18"/>
      <c r="R3" s="14">
        <f>SUM(E3:P3)/12</f>
        <v>0.22145</v>
      </c>
      <c r="S3" s="15"/>
      <c r="T3" s="15">
        <v>0.2546</v>
      </c>
      <c r="U3" s="15">
        <v>0.5405</v>
      </c>
      <c r="V3" s="15">
        <v>0.3251</v>
      </c>
      <c r="W3" s="15">
        <v>0.2946</v>
      </c>
      <c r="X3" s="15">
        <v>0.3729</v>
      </c>
      <c r="Y3" s="15">
        <v>0.3907</v>
      </c>
      <c r="Z3" s="15">
        <v>0.4507</v>
      </c>
      <c r="AA3" s="15">
        <v>0.3434</v>
      </c>
      <c r="AB3" s="15">
        <v>0.3394</v>
      </c>
      <c r="AC3" s="15">
        <v>0.2688</v>
      </c>
      <c r="AD3" s="15">
        <v>0.4222</v>
      </c>
      <c r="AE3" s="15">
        <v>0.3275</v>
      </c>
      <c r="AF3" s="2"/>
      <c r="AG3" s="16">
        <v>0.458656627699623</v>
      </c>
      <c r="AH3" s="16">
        <v>0.216408587356301</v>
      </c>
      <c r="AI3" s="16">
        <v>0.0719490886106091</v>
      </c>
      <c r="AJ3" s="16">
        <v>0.228894776859103</v>
      </c>
      <c r="AK3" s="16">
        <v>0.129462144205815</v>
      </c>
      <c r="AL3" s="16">
        <v>0.13648407122495</v>
      </c>
      <c r="AM3" s="16">
        <f>((1+E3)*(1+AL3)^11)^(1/12)-1</f>
        <v>0.144816082332856</v>
      </c>
    </row>
    <row r="4" ht="15.75" spans="1:40">
      <c r="A4" s="19" t="s">
        <v>39</v>
      </c>
      <c r="B4" s="20">
        <v>399997</v>
      </c>
      <c r="C4" s="21">
        <v>39813</v>
      </c>
      <c r="D4" s="6">
        <v>42025</v>
      </c>
      <c r="E4" s="15">
        <v>0.4077</v>
      </c>
      <c r="F4" s="15">
        <v>0.1894</v>
      </c>
      <c r="G4" s="15">
        <v>0.1402</v>
      </c>
      <c r="H4" s="15">
        <v>0.7729</v>
      </c>
      <c r="I4" s="15">
        <v>-0.2694</v>
      </c>
      <c r="J4" s="15">
        <v>0.9199</v>
      </c>
      <c r="K4" s="15">
        <v>1.1976</v>
      </c>
      <c r="L4" s="15">
        <v>-0.034</v>
      </c>
      <c r="M4" s="15">
        <v>-0.1253</v>
      </c>
      <c r="N4" s="15">
        <v>-0.1922</v>
      </c>
      <c r="O4" s="15">
        <v>-0.1712</v>
      </c>
      <c r="P4" s="15">
        <v>-0.1615</v>
      </c>
      <c r="Q4" s="18"/>
      <c r="R4" s="14">
        <f>SUM(E4:P4)/12</f>
        <v>0.222841666666667</v>
      </c>
      <c r="S4" s="15"/>
      <c r="T4" s="15">
        <v>0.2736</v>
      </c>
      <c r="U4" s="15">
        <v>0.4151</v>
      </c>
      <c r="V4" s="15">
        <v>0.2835</v>
      </c>
      <c r="W4" s="15">
        <v>0.2483</v>
      </c>
      <c r="X4" s="15">
        <v>0.3686</v>
      </c>
      <c r="Y4" s="15">
        <v>0.3108</v>
      </c>
      <c r="Z4" s="15">
        <v>0.3415</v>
      </c>
      <c r="AA4" s="15">
        <v>0.4096</v>
      </c>
      <c r="AB4" s="15">
        <v>0.3259</v>
      </c>
      <c r="AC4" s="15">
        <v>0.2343</v>
      </c>
      <c r="AD4" s="15">
        <v>0.3263</v>
      </c>
      <c r="AE4" s="15">
        <v>0.2006</v>
      </c>
      <c r="AF4" s="2"/>
      <c r="AG4" s="16">
        <v>-0.161487901755769</v>
      </c>
      <c r="AH4" s="16">
        <v>-0.175064826784687</v>
      </c>
      <c r="AI4" s="16">
        <v>-0.1385748574264</v>
      </c>
      <c r="AJ4" s="16">
        <v>0.104191246344597</v>
      </c>
      <c r="AK4" s="16">
        <v>0.111632613695263</v>
      </c>
      <c r="AL4" s="16">
        <v>0.121067921464519</v>
      </c>
      <c r="AM4" s="16">
        <f>((1+E4)*(1+AL4)^11)^(1/12)-1</f>
        <v>0.142540949547436</v>
      </c>
    </row>
    <row r="5" ht="15.75" spans="1:40">
      <c r="A5" s="2" t="s">
        <v>40</v>
      </c>
      <c r="B5" s="2">
        <v>931082</v>
      </c>
      <c r="C5" s="22">
        <v>41639</v>
      </c>
      <c r="D5" s="6">
        <v>45854</v>
      </c>
      <c r="E5" s="14">
        <v>0.4888</v>
      </c>
      <c r="F5" s="14">
        <v>0.1036</v>
      </c>
      <c r="G5" s="14">
        <v>-0.0479</v>
      </c>
      <c r="H5" s="14">
        <v>0.3999</v>
      </c>
      <c r="I5" s="14">
        <v>-0.1471</v>
      </c>
      <c r="J5" s="14">
        <v>0.2176</v>
      </c>
      <c r="K5" s="14">
        <v>0.0906</v>
      </c>
      <c r="L5" s="14">
        <v>0.2326</v>
      </c>
      <c r="M5" s="14">
        <v>-0.0931</v>
      </c>
      <c r="N5" s="14">
        <v>0.1302</v>
      </c>
      <c r="O5" s="14">
        <v>0.3106</v>
      </c>
      <c r="P5" s="14">
        <v>0.1039</v>
      </c>
      <c r="Q5" s="14"/>
      <c r="R5" s="14">
        <f>SUM(E5:P5)/12</f>
        <v>0.149141666666667</v>
      </c>
      <c r="S5" s="15"/>
      <c r="T5" s="15">
        <v>0.1826</v>
      </c>
      <c r="U5" s="15">
        <v>0.4019</v>
      </c>
      <c r="V5" s="15">
        <v>0.205</v>
      </c>
      <c r="W5" s="15">
        <v>0.104</v>
      </c>
      <c r="X5" s="15">
        <v>0.2068</v>
      </c>
      <c r="Y5" s="15">
        <v>0.1868</v>
      </c>
      <c r="Z5" s="15">
        <v>0.213</v>
      </c>
      <c r="AA5" s="15">
        <v>0.2126</v>
      </c>
      <c r="AB5" s="15">
        <v>0.2208</v>
      </c>
      <c r="AC5" s="15">
        <v>0.1499</v>
      </c>
      <c r="AD5" s="15">
        <v>0.2083</v>
      </c>
      <c r="AE5" s="15">
        <v>0.1433</v>
      </c>
      <c r="AF5" s="15"/>
      <c r="AG5" s="16">
        <v>0.103873749510029</v>
      </c>
      <c r="AH5" s="16">
        <v>0.178118386549677</v>
      </c>
      <c r="AI5" s="16">
        <v>0.128203577048967</v>
      </c>
      <c r="AJ5" s="16">
        <v>0.135058260300623</v>
      </c>
      <c r="AK5" s="16">
        <v>0.125503279645566</v>
      </c>
      <c r="AL5" s="16">
        <v>0.106540449559027</v>
      </c>
      <c r="AM5" s="16">
        <f>((1+E5)*(1+AL5)^11)^(1/12)-1</f>
        <v>0.134243719040101</v>
      </c>
    </row>
    <row r="6" ht="15.75" spans="1:40">
      <c r="A6" s="2" t="s">
        <v>41</v>
      </c>
      <c r="B6" s="2">
        <v>932315</v>
      </c>
      <c r="C6" s="22">
        <v>41639</v>
      </c>
      <c r="D6" s="22">
        <v>45481</v>
      </c>
      <c r="E6" s="23">
        <v>0.3791</v>
      </c>
      <c r="F6" s="23">
        <v>0.2368</v>
      </c>
      <c r="G6" s="23">
        <v>0.0212</v>
      </c>
      <c r="H6" s="23">
        <v>0.4617</v>
      </c>
      <c r="I6" s="23">
        <v>-0.1982</v>
      </c>
      <c r="J6" s="23">
        <v>0.3348</v>
      </c>
      <c r="K6" s="23">
        <v>0.3319</v>
      </c>
      <c r="L6" s="23">
        <v>0.0727</v>
      </c>
      <c r="M6" s="23">
        <v>-0.1031</v>
      </c>
      <c r="N6" s="23">
        <v>-0.0517</v>
      </c>
      <c r="O6" s="23">
        <v>0.1761</v>
      </c>
      <c r="P6" s="23">
        <v>0.1591</v>
      </c>
      <c r="Q6" s="14"/>
      <c r="R6" s="14">
        <f>SUM(E6:P6)/12</f>
        <v>0.1517</v>
      </c>
      <c r="S6" s="23"/>
      <c r="T6" s="23">
        <v>0.1785</v>
      </c>
      <c r="U6" s="23">
        <v>0.3939</v>
      </c>
      <c r="V6" s="23">
        <v>0.2016</v>
      </c>
      <c r="W6" s="23">
        <v>0.1309</v>
      </c>
      <c r="X6" s="23">
        <v>0.2475</v>
      </c>
      <c r="Y6" s="23">
        <v>0.1797</v>
      </c>
      <c r="Z6" s="23">
        <v>0.2321</v>
      </c>
      <c r="AA6" s="23">
        <v>0.1796</v>
      </c>
      <c r="AB6" s="23">
        <v>0.2117</v>
      </c>
      <c r="AC6" s="23">
        <v>0.1203</v>
      </c>
      <c r="AD6" s="23">
        <v>0.2088</v>
      </c>
      <c r="AE6" s="23">
        <v>0.1463</v>
      </c>
      <c r="AF6" s="15"/>
      <c r="AG6" s="16">
        <v>0.159083030989301</v>
      </c>
      <c r="AH6" s="16">
        <v>0.0893707988508712</v>
      </c>
      <c r="AI6" s="16">
        <v>0.0445970684342452</v>
      </c>
      <c r="AJ6" s="16">
        <v>0.120038647631645</v>
      </c>
      <c r="AK6" s="16">
        <v>0.111608945032506</v>
      </c>
      <c r="AL6" s="16">
        <v>0.113823071174797</v>
      </c>
      <c r="AM6" s="16">
        <f>((1+E6)*(1+AL6)^11)^(1/12)-1</f>
        <v>0.133829725070707</v>
      </c>
    </row>
    <row r="7" ht="15.75" spans="1:40">
      <c r="A7" s="2" t="s">
        <v>42</v>
      </c>
      <c r="B7" s="2" t="s">
        <v>43</v>
      </c>
      <c r="C7" s="22">
        <v>38716</v>
      </c>
      <c r="D7" s="6">
        <v>41457</v>
      </c>
      <c r="E7" s="15">
        <v>0.3407</v>
      </c>
      <c r="F7" s="15">
        <v>0.2882</v>
      </c>
      <c r="G7" s="15">
        <v>0.0668</v>
      </c>
      <c r="H7" s="15">
        <v>0.3211</v>
      </c>
      <c r="I7" s="15">
        <v>-0.1376</v>
      </c>
      <c r="J7" s="15">
        <v>0.5381</v>
      </c>
      <c r="K7" s="15">
        <v>0.4617</v>
      </c>
      <c r="L7" s="15">
        <v>0.1112</v>
      </c>
      <c r="M7" s="15">
        <v>-0.0927</v>
      </c>
      <c r="N7" s="15">
        <v>-0.1562</v>
      </c>
      <c r="O7" s="15">
        <v>-0.0511</v>
      </c>
      <c r="P7" s="15">
        <v>0.0125</v>
      </c>
      <c r="Q7" s="14"/>
      <c r="R7" s="14">
        <f>SUM(E7:P7)/12</f>
        <v>0.141891666666667</v>
      </c>
      <c r="S7" s="15"/>
      <c r="T7" s="15">
        <v>0.189</v>
      </c>
      <c r="U7" s="15">
        <v>0.4269</v>
      </c>
      <c r="V7" s="15">
        <v>0.2399</v>
      </c>
      <c r="W7" s="15">
        <v>0.1536</v>
      </c>
      <c r="X7" s="15">
        <v>0.2492</v>
      </c>
      <c r="Y7" s="15">
        <v>0.2243</v>
      </c>
      <c r="Z7" s="15">
        <v>0.275</v>
      </c>
      <c r="AA7" s="15">
        <v>0.212</v>
      </c>
      <c r="AB7" s="15">
        <v>0.2385</v>
      </c>
      <c r="AC7" s="15">
        <v>0.1396</v>
      </c>
      <c r="AD7" s="15">
        <v>0.2588</v>
      </c>
      <c r="AE7" s="15">
        <v>0.1608</v>
      </c>
      <c r="AF7" s="15"/>
      <c r="AG7" s="15">
        <v>0.0125</v>
      </c>
      <c r="AH7" s="15">
        <v>-0.0676</v>
      </c>
      <c r="AI7" s="15">
        <v>-0.0396</v>
      </c>
      <c r="AJ7" s="15">
        <v>0.0908</v>
      </c>
      <c r="AK7" s="15">
        <v>0.0856</v>
      </c>
      <c r="AL7" s="15">
        <v>0.1008</v>
      </c>
      <c r="AM7" s="16">
        <f>((1+E7)*(1+AL7)^11)^(1/12)-1</f>
        <v>0.119035042391226</v>
      </c>
    </row>
    <row r="8" ht="15.75" spans="1:40">
      <c r="A8" s="24" t="s">
        <v>44</v>
      </c>
      <c r="B8" s="2">
        <v>932369</v>
      </c>
      <c r="C8" s="22">
        <v>41639</v>
      </c>
      <c r="D8" s="6">
        <v>45608</v>
      </c>
      <c r="E8" s="14">
        <v>0.5218</v>
      </c>
      <c r="F8" s="14">
        <v>0.5595</v>
      </c>
      <c r="G8" s="14">
        <v>-0.0837</v>
      </c>
      <c r="H8" s="14">
        <v>-0.1206</v>
      </c>
      <c r="I8" s="14">
        <v>-0.244</v>
      </c>
      <c r="J8" s="14">
        <v>0.2564</v>
      </c>
      <c r="K8" s="14">
        <v>0.1935</v>
      </c>
      <c r="L8" s="14">
        <v>0.2906</v>
      </c>
      <c r="M8" s="14">
        <v>0.0139</v>
      </c>
      <c r="N8" s="14">
        <v>-0.0085</v>
      </c>
      <c r="O8" s="14">
        <v>0.1397</v>
      </c>
      <c r="P8" s="14">
        <v>0.1503</v>
      </c>
      <c r="Q8" s="14"/>
      <c r="R8" s="14">
        <f>SUM(E8:P8)/12</f>
        <v>0.139075</v>
      </c>
      <c r="S8" s="15"/>
      <c r="T8" s="15">
        <v>0.1993</v>
      </c>
      <c r="U8" s="15">
        <v>0.472</v>
      </c>
      <c r="V8" s="15">
        <v>0.2846</v>
      </c>
      <c r="W8" s="15">
        <v>0.1517</v>
      </c>
      <c r="X8" s="15">
        <v>0.2426</v>
      </c>
      <c r="Y8" s="15">
        <v>0.2248</v>
      </c>
      <c r="Z8" s="15">
        <v>0.2405</v>
      </c>
      <c r="AA8" s="15">
        <v>0.2367</v>
      </c>
      <c r="AB8" s="15">
        <v>0.2659</v>
      </c>
      <c r="AC8" s="15">
        <v>0.1262</v>
      </c>
      <c r="AD8" s="15">
        <v>0.2533</v>
      </c>
      <c r="AE8" s="15">
        <v>0.1561</v>
      </c>
      <c r="AF8" s="15"/>
      <c r="AG8" s="16">
        <v>0.150301026296909</v>
      </c>
      <c r="AH8" s="16">
        <v>0.0913664444138433</v>
      </c>
      <c r="AI8" s="16">
        <v>0.112073312717157</v>
      </c>
      <c r="AJ8" s="16">
        <v>0.143108111322172</v>
      </c>
      <c r="AK8" s="16">
        <v>0.0604226791339835</v>
      </c>
      <c r="AL8" s="16">
        <v>0.0837829342898546</v>
      </c>
      <c r="AM8" s="16">
        <f>((1+E8)*(1+AL8)^11)^(1/12)-1</f>
        <v>0.114876892410106</v>
      </c>
    </row>
    <row r="9" ht="15.75" spans="1:40">
      <c r="A9" s="2" t="s">
        <v>45</v>
      </c>
      <c r="B9" s="17">
        <v>932367</v>
      </c>
      <c r="C9" s="22">
        <v>41639</v>
      </c>
      <c r="D9" s="6">
        <v>45608</v>
      </c>
      <c r="E9" s="14">
        <v>0.4341</v>
      </c>
      <c r="F9" s="14">
        <v>0.3243</v>
      </c>
      <c r="G9" s="14">
        <v>-0.0736</v>
      </c>
      <c r="H9" s="14">
        <v>0.1927</v>
      </c>
      <c r="I9" s="14">
        <v>-0.2305</v>
      </c>
      <c r="J9" s="14">
        <v>0.2145</v>
      </c>
      <c r="K9" s="14">
        <v>0.0781</v>
      </c>
      <c r="L9" s="14">
        <v>0.2178</v>
      </c>
      <c r="M9" s="14">
        <v>-0.1224</v>
      </c>
      <c r="N9" s="14">
        <v>0.0614</v>
      </c>
      <c r="O9" s="14">
        <v>0.1813</v>
      </c>
      <c r="P9" s="14">
        <v>0.2918</v>
      </c>
      <c r="Q9" s="14"/>
      <c r="R9" s="14">
        <f>SUM(E9:P9)/12</f>
        <v>0.130791666666667</v>
      </c>
      <c r="S9" s="15"/>
      <c r="T9" s="15">
        <v>0.2001</v>
      </c>
      <c r="U9" s="15">
        <v>0.4802</v>
      </c>
      <c r="V9" s="15">
        <v>0.2832</v>
      </c>
      <c r="W9" s="15">
        <v>0.167</v>
      </c>
      <c r="X9" s="15">
        <v>0.2365</v>
      </c>
      <c r="Y9" s="15">
        <v>0.2216</v>
      </c>
      <c r="Z9" s="15">
        <v>0.2367</v>
      </c>
      <c r="AA9" s="15">
        <v>0.2423</v>
      </c>
      <c r="AB9" s="15">
        <v>0.2592</v>
      </c>
      <c r="AC9" s="15">
        <v>0.1318</v>
      </c>
      <c r="AD9" s="15">
        <v>0.2498</v>
      </c>
      <c r="AE9" s="15">
        <v>0.1637</v>
      </c>
      <c r="AF9" s="15"/>
      <c r="AG9" s="16">
        <v>0.291758003198102</v>
      </c>
      <c r="AH9" s="16">
        <v>0.174369480901762</v>
      </c>
      <c r="AI9" s="16">
        <v>0.115989064702086</v>
      </c>
      <c r="AJ9" s="16">
        <v>0.123986567872176</v>
      </c>
      <c r="AK9" s="16">
        <v>0.084772355119215</v>
      </c>
      <c r="AL9" s="16">
        <v>0.088892378888092</v>
      </c>
      <c r="AM9" s="16">
        <f>((1+E9)*(1+AL9)^11)^(1/12)-1</f>
        <v>0.114169241011526</v>
      </c>
    </row>
    <row r="10" ht="15.75" spans="1:40">
      <c r="A10" s="2" t="s">
        <v>46</v>
      </c>
      <c r="B10" s="2">
        <v>932317</v>
      </c>
      <c r="C10" s="22">
        <v>41639</v>
      </c>
      <c r="D10" s="22">
        <v>45481</v>
      </c>
      <c r="E10" s="23">
        <v>0.3638</v>
      </c>
      <c r="F10" s="23">
        <v>0.5069</v>
      </c>
      <c r="G10" s="23">
        <v>-0.1124</v>
      </c>
      <c r="H10" s="23">
        <v>0.2884</v>
      </c>
      <c r="I10" s="23">
        <v>-0.2426</v>
      </c>
      <c r="J10" s="23">
        <v>0.3413</v>
      </c>
      <c r="K10" s="23">
        <v>0.1468</v>
      </c>
      <c r="L10" s="23">
        <v>0.1407</v>
      </c>
      <c r="M10" s="23">
        <v>-0.1441</v>
      </c>
      <c r="N10" s="23">
        <v>0.0501</v>
      </c>
      <c r="O10" s="23">
        <v>0.1015</v>
      </c>
      <c r="P10" s="23">
        <v>0.179</v>
      </c>
      <c r="Q10" s="14"/>
      <c r="R10" s="14">
        <f>SUM(E10:P10)/12</f>
        <v>0.13495</v>
      </c>
      <c r="S10" s="23"/>
      <c r="T10" s="23">
        <v>0.2113</v>
      </c>
      <c r="U10" s="23">
        <v>0.4478</v>
      </c>
      <c r="V10" s="23">
        <v>0.2734</v>
      </c>
      <c r="W10" s="23">
        <v>0.158</v>
      </c>
      <c r="X10" s="23">
        <v>0.2575</v>
      </c>
      <c r="Y10" s="23">
        <v>0.2183</v>
      </c>
      <c r="Z10" s="23">
        <v>0.2428</v>
      </c>
      <c r="AA10" s="23">
        <v>0.1629</v>
      </c>
      <c r="AB10" s="23">
        <v>0.2049</v>
      </c>
      <c r="AC10" s="23">
        <v>0.1113</v>
      </c>
      <c r="AD10" s="23">
        <v>0.2121</v>
      </c>
      <c r="AE10" s="23">
        <v>0.151</v>
      </c>
      <c r="AF10" s="15"/>
      <c r="AG10" s="16">
        <v>0.179011267642075</v>
      </c>
      <c r="AH10" s="16">
        <v>0.108938052691777</v>
      </c>
      <c r="AI10" s="16">
        <v>0.0589174772720822</v>
      </c>
      <c r="AJ10" s="16">
        <v>0.107836926057401</v>
      </c>
      <c r="AK10" s="16">
        <v>0.0799679348465756</v>
      </c>
      <c r="AL10" s="16">
        <v>0.09350422314173</v>
      </c>
      <c r="AM10" s="16">
        <f>((1+E10)*(1+AL10)^11)^(1/12)-1</f>
        <v>0.113819071191958</v>
      </c>
    </row>
    <row r="11" ht="15.75" spans="1:40">
      <c r="A11" s="2" t="s">
        <v>47</v>
      </c>
      <c r="B11" s="2">
        <v>932316</v>
      </c>
      <c r="C11" s="22">
        <v>41639</v>
      </c>
      <c r="D11" s="22">
        <v>45481</v>
      </c>
      <c r="E11" s="23">
        <v>0.4779</v>
      </c>
      <c r="F11" s="23">
        <v>0.1102</v>
      </c>
      <c r="G11" s="23">
        <v>0.0177</v>
      </c>
      <c r="H11" s="23">
        <v>0.5259</v>
      </c>
      <c r="I11" s="23">
        <v>-0.1783</v>
      </c>
      <c r="J11" s="23">
        <v>0.4027</v>
      </c>
      <c r="K11" s="23">
        <v>0.2595</v>
      </c>
      <c r="L11" s="23">
        <v>-0.0931</v>
      </c>
      <c r="M11" s="23">
        <v>-0.1331</v>
      </c>
      <c r="N11" s="23">
        <v>-0.0455</v>
      </c>
      <c r="O11" s="23">
        <v>0.2504</v>
      </c>
      <c r="P11" s="23">
        <v>0.0472</v>
      </c>
      <c r="Q11" s="14"/>
      <c r="R11" s="14">
        <f>SUM(E11:P11)/12</f>
        <v>0.136791666666667</v>
      </c>
      <c r="S11" s="23"/>
      <c r="T11" s="23">
        <v>0.1855</v>
      </c>
      <c r="U11" s="23">
        <v>0.3625</v>
      </c>
      <c r="V11" s="23">
        <v>0.1779</v>
      </c>
      <c r="W11" s="23">
        <v>0.1366</v>
      </c>
      <c r="X11" s="23">
        <v>0.2338</v>
      </c>
      <c r="Y11" s="23">
        <v>0.1818</v>
      </c>
      <c r="Z11" s="23">
        <v>0.2146</v>
      </c>
      <c r="AA11" s="23">
        <v>0.1889</v>
      </c>
      <c r="AB11" s="23">
        <v>0.2018</v>
      </c>
      <c r="AC11" s="23">
        <v>0.1367</v>
      </c>
      <c r="AD11" s="23">
        <v>0.1766</v>
      </c>
      <c r="AE11" s="23">
        <v>0.1148</v>
      </c>
      <c r="AF11" s="15"/>
      <c r="AG11" s="16">
        <v>0.047218980941268</v>
      </c>
      <c r="AH11" s="16">
        <v>0.0771657326925703</v>
      </c>
      <c r="AI11" s="16">
        <v>-0.00349507934788762</v>
      </c>
      <c r="AJ11" s="16">
        <v>0.081991589498609</v>
      </c>
      <c r="AK11" s="16">
        <v>0.0902684746969569</v>
      </c>
      <c r="AL11" s="16">
        <v>0.0852474573735877</v>
      </c>
      <c r="AM11" s="16">
        <f>((1+E11)*(1+AL11)^11)^(1/12)-1</f>
        <v>0.113538233046037</v>
      </c>
    </row>
    <row r="12" ht="15.75" spans="1:40">
      <c r="A12" s="2" t="s">
        <v>48</v>
      </c>
      <c r="B12" s="2">
        <v>932319</v>
      </c>
      <c r="C12" s="22">
        <v>41639</v>
      </c>
      <c r="D12" s="22">
        <v>45481</v>
      </c>
      <c r="E12" s="23">
        <v>0.3104</v>
      </c>
      <c r="F12" s="23">
        <v>0.7595</v>
      </c>
      <c r="G12" s="23">
        <v>-0.1146</v>
      </c>
      <c r="H12" s="23">
        <v>-0.0599</v>
      </c>
      <c r="I12" s="23">
        <v>-0.2743</v>
      </c>
      <c r="J12" s="23">
        <v>0.3323</v>
      </c>
      <c r="K12" s="23">
        <v>0.3048</v>
      </c>
      <c r="L12" s="23">
        <v>0.2982</v>
      </c>
      <c r="M12" s="23">
        <v>-0.1716</v>
      </c>
      <c r="N12" s="23">
        <v>0.0375</v>
      </c>
      <c r="O12" s="23">
        <v>0.1045</v>
      </c>
      <c r="P12" s="23">
        <v>0.1606</v>
      </c>
      <c r="Q12" s="14"/>
      <c r="R12" s="14">
        <f>SUM(E12:P12)/12</f>
        <v>0.140616666666667</v>
      </c>
      <c r="S12" s="23"/>
      <c r="T12" s="23">
        <v>0.2166</v>
      </c>
      <c r="U12" s="23">
        <v>0.4871</v>
      </c>
      <c r="V12" s="23">
        <v>0.3143</v>
      </c>
      <c r="W12" s="23">
        <v>0.1456</v>
      </c>
      <c r="X12" s="23">
        <v>0.2383</v>
      </c>
      <c r="Y12" s="23">
        <v>0.2135</v>
      </c>
      <c r="Z12" s="23">
        <v>0.2535</v>
      </c>
      <c r="AA12" s="23">
        <v>0.2013</v>
      </c>
      <c r="AB12" s="23">
        <v>0.2327</v>
      </c>
      <c r="AC12" s="23">
        <v>0.129</v>
      </c>
      <c r="AD12" s="23">
        <v>0.2389</v>
      </c>
      <c r="AE12" s="23">
        <v>0.1569</v>
      </c>
      <c r="AF12" s="15"/>
      <c r="AG12" s="16">
        <v>0.160618288579357</v>
      </c>
      <c r="AH12" s="16">
        <v>0.099732801045209</v>
      </c>
      <c r="AI12" s="16">
        <v>0.0742106674553598</v>
      </c>
      <c r="AJ12" s="16">
        <v>0.138969126009399</v>
      </c>
      <c r="AK12" s="16">
        <v>0.0604849645348584</v>
      </c>
      <c r="AL12" s="16">
        <v>0.0923653113940854</v>
      </c>
      <c r="AM12" s="16">
        <f>((1+E12)*(1+AL12)^11)^(1/12)-1</f>
        <v>0.109057932488696</v>
      </c>
    </row>
    <row r="13" ht="15.75" spans="1:40">
      <c r="A13" s="2" t="s">
        <v>49</v>
      </c>
      <c r="B13" s="2">
        <v>932476</v>
      </c>
      <c r="C13" s="22">
        <v>41639</v>
      </c>
      <c r="D13" s="22">
        <v>45765</v>
      </c>
      <c r="E13" s="23">
        <v>0.4681</v>
      </c>
      <c r="F13" s="23">
        <v>0.0662</v>
      </c>
      <c r="G13" s="23">
        <v>0.0177</v>
      </c>
      <c r="H13" s="23">
        <v>0.4954</v>
      </c>
      <c r="I13" s="23">
        <v>-0.1911</v>
      </c>
      <c r="J13" s="23">
        <v>0.3853</v>
      </c>
      <c r="K13" s="23">
        <v>0.2021</v>
      </c>
      <c r="L13" s="23">
        <v>-0.0589</v>
      </c>
      <c r="M13" s="23">
        <v>-0.1411</v>
      </c>
      <c r="N13" s="23">
        <v>-0.0263</v>
      </c>
      <c r="O13" s="23">
        <v>0.1681</v>
      </c>
      <c r="P13" s="23">
        <v>0.1456</v>
      </c>
      <c r="Q13" s="14"/>
      <c r="R13" s="14">
        <f>SUM(E13:P13)/12</f>
        <v>0.127591666666667</v>
      </c>
      <c r="S13" s="23"/>
      <c r="T13" s="23">
        <v>0.177</v>
      </c>
      <c r="U13" s="23">
        <v>0.3769</v>
      </c>
      <c r="V13" s="23">
        <v>0.1746</v>
      </c>
      <c r="W13" s="23">
        <v>0.1262</v>
      </c>
      <c r="X13" s="23">
        <v>0.2379</v>
      </c>
      <c r="Y13" s="23">
        <v>0.1854</v>
      </c>
      <c r="Z13" s="23">
        <v>0.2098</v>
      </c>
      <c r="AA13" s="23">
        <v>0.1731</v>
      </c>
      <c r="AB13" s="23">
        <v>0.1995</v>
      </c>
      <c r="AC13" s="23">
        <v>0.1282</v>
      </c>
      <c r="AD13" s="23">
        <v>0.1858</v>
      </c>
      <c r="AE13" s="23">
        <v>0.1324</v>
      </c>
      <c r="AF13" s="15"/>
      <c r="AG13" s="16">
        <v>0.145569427166135</v>
      </c>
      <c r="AH13" s="16">
        <v>0.0921893478390716</v>
      </c>
      <c r="AI13" s="16">
        <v>0.0104068048085157</v>
      </c>
      <c r="AJ13" s="16">
        <v>0.0835532230667</v>
      </c>
      <c r="AK13" s="16">
        <v>0.0871591030776342</v>
      </c>
      <c r="AL13" s="16">
        <v>0.078742377357387</v>
      </c>
      <c r="AM13" s="16">
        <f>((1+E13)*(1+AL13)^11)^(1/12)-1</f>
        <v>0.106804453947589</v>
      </c>
    </row>
    <row r="14" ht="15.75" spans="1:40">
      <c r="A14" s="2" t="s">
        <v>50</v>
      </c>
      <c r="B14" s="2">
        <v>932366</v>
      </c>
      <c r="C14" s="22">
        <v>41639</v>
      </c>
      <c r="D14" s="6">
        <v>45608</v>
      </c>
      <c r="E14" s="14">
        <v>0.4206</v>
      </c>
      <c r="F14" s="14">
        <v>0.0395</v>
      </c>
      <c r="G14" s="14">
        <v>-0.0517</v>
      </c>
      <c r="H14" s="14">
        <v>0.4121</v>
      </c>
      <c r="I14" s="14">
        <v>-0.1743</v>
      </c>
      <c r="J14" s="14">
        <v>0.1755</v>
      </c>
      <c r="K14" s="14">
        <v>0.1229</v>
      </c>
      <c r="L14" s="14">
        <v>0.1016</v>
      </c>
      <c r="M14" s="14">
        <v>-0.1031</v>
      </c>
      <c r="N14" s="14">
        <v>0.0694</v>
      </c>
      <c r="O14" s="14">
        <v>0.3516</v>
      </c>
      <c r="P14" s="14">
        <v>0.0858</v>
      </c>
      <c r="Q14" s="14"/>
      <c r="R14" s="14">
        <f>SUM(E14:P14)/12</f>
        <v>0.120825</v>
      </c>
      <c r="S14" s="15"/>
      <c r="T14" s="15">
        <v>0.1896</v>
      </c>
      <c r="U14" s="15">
        <v>0.4032</v>
      </c>
      <c r="V14" s="15">
        <v>0.2016</v>
      </c>
      <c r="W14" s="15">
        <v>0.1033</v>
      </c>
      <c r="X14" s="15">
        <v>0.2027</v>
      </c>
      <c r="Y14" s="15">
        <v>0.1701</v>
      </c>
      <c r="Z14" s="15">
        <v>0.209</v>
      </c>
      <c r="AA14" s="15">
        <v>0.1781</v>
      </c>
      <c r="AB14" s="15">
        <v>0.2038</v>
      </c>
      <c r="AC14" s="15">
        <v>0.1415</v>
      </c>
      <c r="AD14" s="15">
        <v>0.2039</v>
      </c>
      <c r="AE14" s="15">
        <v>0.1279</v>
      </c>
      <c r="AF14" s="15"/>
      <c r="AG14" s="16">
        <v>0.0857633936259046</v>
      </c>
      <c r="AH14" s="16">
        <v>0.162101748436944</v>
      </c>
      <c r="AI14" s="16">
        <v>0.0916875762416482</v>
      </c>
      <c r="AJ14" s="16">
        <v>0.107738097062062</v>
      </c>
      <c r="AK14" s="16">
        <v>0.101460192695675</v>
      </c>
      <c r="AL14" s="16">
        <v>0.080868758200993</v>
      </c>
      <c r="AM14" s="16">
        <f>((1+E14)*(1+AL14)^11)^(1/12)-1</f>
        <v>0.105769316061343</v>
      </c>
    </row>
    <row r="15" ht="15.75" spans="1:40">
      <c r="A15" s="25" t="s">
        <v>51</v>
      </c>
      <c r="B15" s="37" t="s">
        <v>52</v>
      </c>
      <c r="C15" s="26">
        <v>38352</v>
      </c>
      <c r="D15" s="27">
        <v>39997</v>
      </c>
      <c r="E15" s="14">
        <v>0.3107</v>
      </c>
      <c r="F15" s="14">
        <v>0.4353</v>
      </c>
      <c r="G15" s="14">
        <v>-0.11</v>
      </c>
      <c r="H15" s="14">
        <v>0.2515</v>
      </c>
      <c r="I15" s="14">
        <v>-0.3867</v>
      </c>
      <c r="J15" s="14">
        <v>0.3646</v>
      </c>
      <c r="K15" s="14">
        <v>-0.0754</v>
      </c>
      <c r="L15" s="14">
        <v>0.0356</v>
      </c>
      <c r="M15" s="14">
        <v>-0.2268</v>
      </c>
      <c r="N15" s="14">
        <v>0.1821</v>
      </c>
      <c r="O15" s="14">
        <v>0.2567</v>
      </c>
      <c r="P15" s="14">
        <v>0.7293</v>
      </c>
      <c r="Q15" s="14"/>
      <c r="R15" s="14">
        <f>SUM(E15:P15)/12</f>
        <v>0.147241666666667</v>
      </c>
      <c r="S15" s="15"/>
      <c r="T15" s="15">
        <v>0.223</v>
      </c>
      <c r="U15" s="15">
        <v>0.5134</v>
      </c>
      <c r="V15" s="15">
        <v>0.2847</v>
      </c>
      <c r="W15" s="15">
        <v>0.1903</v>
      </c>
      <c r="X15" s="15">
        <v>0.3161</v>
      </c>
      <c r="Y15" s="15">
        <v>0.3128</v>
      </c>
      <c r="Z15" s="15">
        <v>0.336</v>
      </c>
      <c r="AA15" s="15">
        <v>0.1992</v>
      </c>
      <c r="AB15" s="15">
        <v>0.2389</v>
      </c>
      <c r="AC15" s="15">
        <v>0.2845</v>
      </c>
      <c r="AD15" s="15">
        <v>0.3076</v>
      </c>
      <c r="AE15" s="15">
        <v>0.3192</v>
      </c>
      <c r="AF15" s="15"/>
      <c r="AG15" s="16">
        <v>0.729297867158415</v>
      </c>
      <c r="AH15" s="16">
        <v>0.369592137519936</v>
      </c>
      <c r="AI15" s="16">
        <v>0.155178289960091</v>
      </c>
      <c r="AJ15" s="16">
        <v>0.145958170609416</v>
      </c>
      <c r="AK15" s="16">
        <v>0.0795758651215888</v>
      </c>
      <c r="AL15" s="16">
        <v>0.0886113911563904</v>
      </c>
      <c r="AM15" s="16">
        <f>((1+E15)*(1+AL15)^11)^(1/12)-1</f>
        <v>0.105584844016523</v>
      </c>
    </row>
    <row r="16" s="3" customFormat="1" ht="15.75" spans="1:40">
      <c r="A16" s="2" t="s">
        <v>53</v>
      </c>
      <c r="B16" s="2">
        <v>931847</v>
      </c>
      <c r="C16" s="28">
        <v>41639</v>
      </c>
      <c r="D16" s="27">
        <v>45433</v>
      </c>
      <c r="E16" s="14">
        <v>0.5599</v>
      </c>
      <c r="F16" s="14">
        <v>0.3793</v>
      </c>
      <c r="G16" s="14">
        <v>-0.0498</v>
      </c>
      <c r="H16" s="14">
        <v>-0.0415</v>
      </c>
      <c r="I16" s="14">
        <v>-0.212</v>
      </c>
      <c r="J16" s="14">
        <v>0.1587</v>
      </c>
      <c r="K16" s="14">
        <v>0.1082</v>
      </c>
      <c r="L16" s="14">
        <v>0.3246</v>
      </c>
      <c r="M16" s="14">
        <v>-0.0484</v>
      </c>
      <c r="N16" s="14">
        <v>0.0533</v>
      </c>
      <c r="O16" s="14">
        <v>0.166</v>
      </c>
      <c r="P16" s="14">
        <v>0.0497</v>
      </c>
      <c r="Q16" s="14"/>
      <c r="R16" s="14">
        <f>SUM(E16:P16)/12</f>
        <v>0.120666666666667</v>
      </c>
      <c r="S16" s="15"/>
      <c r="T16" s="15">
        <v>0.1837</v>
      </c>
      <c r="U16" s="15">
        <v>0.4946</v>
      </c>
      <c r="V16" s="15">
        <v>0.2669</v>
      </c>
      <c r="W16" s="15">
        <v>0.1271</v>
      </c>
      <c r="X16" s="15">
        <v>0.2107</v>
      </c>
      <c r="Y16" s="15">
        <v>0.1949</v>
      </c>
      <c r="Z16" s="15">
        <v>0.217</v>
      </c>
      <c r="AA16" s="15">
        <v>0.1628</v>
      </c>
      <c r="AB16" s="15">
        <v>0.1898</v>
      </c>
      <c r="AC16" s="15">
        <v>0.1146</v>
      </c>
      <c r="AD16" s="15">
        <v>0.2079</v>
      </c>
      <c r="AE16" s="15">
        <v>0.125</v>
      </c>
      <c r="AF16" s="15"/>
      <c r="AG16" s="16">
        <v>0.0496503815500511</v>
      </c>
      <c r="AH16" s="16">
        <v>0.0883345645142177</v>
      </c>
      <c r="AI16" s="16">
        <v>0.101956125415303</v>
      </c>
      <c r="AJ16" s="16">
        <v>0.110782334898085</v>
      </c>
      <c r="AK16" s="16">
        <v>0.051827057032346</v>
      </c>
      <c r="AL16" s="16">
        <v>0.0681509310463579</v>
      </c>
      <c r="AM16" s="16">
        <f>((1+E16)*(1+AL16)^11)^(1/12)-1</f>
        <v>0.102396860980066</v>
      </c>
      <c r="AN16" s="2"/>
    </row>
    <row r="17" s="4" customFormat="1" ht="15.75" spans="1:40">
      <c r="A17" s="2" t="s">
        <v>54</v>
      </c>
      <c r="B17" s="2">
        <v>932000</v>
      </c>
      <c r="C17" s="6">
        <v>41639</v>
      </c>
      <c r="D17" s="6">
        <v>45149</v>
      </c>
      <c r="E17" s="14">
        <v>0.5354</v>
      </c>
      <c r="F17" s="14">
        <v>1.0978</v>
      </c>
      <c r="G17" s="29">
        <v>-0.0763</v>
      </c>
      <c r="H17" s="29">
        <v>-0.241</v>
      </c>
      <c r="I17" s="29">
        <v>-0.3334</v>
      </c>
      <c r="J17" s="29">
        <v>0.2196</v>
      </c>
      <c r="K17" s="29">
        <v>0.1539</v>
      </c>
      <c r="L17" s="29">
        <v>0.2589</v>
      </c>
      <c r="M17" s="29">
        <v>-0.1477</v>
      </c>
      <c r="N17" s="29">
        <v>0.0557</v>
      </c>
      <c r="O17" s="29">
        <v>-0.0214</v>
      </c>
      <c r="P17" s="29">
        <v>0.3642</v>
      </c>
      <c r="Q17" s="29"/>
      <c r="R17" s="14">
        <f>SUM(E17:P17)/12</f>
        <v>0.155475</v>
      </c>
      <c r="S17" s="15"/>
      <c r="T17" s="15">
        <v>0.2175</v>
      </c>
      <c r="U17" s="15">
        <v>0.4497</v>
      </c>
      <c r="V17" s="15">
        <v>0.3114</v>
      </c>
      <c r="W17" s="15">
        <v>0.1733</v>
      </c>
      <c r="X17" s="15">
        <v>0.2536</v>
      </c>
      <c r="Y17" s="15">
        <v>0.2515</v>
      </c>
      <c r="Z17" s="15">
        <v>0.269</v>
      </c>
      <c r="AA17" s="15">
        <v>0.1912</v>
      </c>
      <c r="AB17" s="15">
        <v>0.2621</v>
      </c>
      <c r="AC17" s="15">
        <v>0.1619</v>
      </c>
      <c r="AD17" s="15">
        <v>0.3835</v>
      </c>
      <c r="AE17" s="15">
        <v>0.2504</v>
      </c>
      <c r="AF17" s="15"/>
      <c r="AG17" s="16">
        <v>0.364173739731103</v>
      </c>
      <c r="AH17" s="16">
        <v>0.121159378431065</v>
      </c>
      <c r="AI17" s="16">
        <v>0.0862125118674684</v>
      </c>
      <c r="AJ17" s="16">
        <v>0.113914197953757</v>
      </c>
      <c r="AK17" s="16">
        <v>0.00823386416394545</v>
      </c>
      <c r="AL17" s="16">
        <v>0.0691350184790069</v>
      </c>
      <c r="AM17" s="16">
        <f>((1+E17)*(1+AL17)^11)^(1/12)-1</f>
        <v>0.101873241316879</v>
      </c>
      <c r="AN17" s="2"/>
    </row>
    <row r="18" s="4" customFormat="1" ht="15.75" spans="1:40">
      <c r="A18" s="2" t="s">
        <v>55</v>
      </c>
      <c r="B18" s="2">
        <v>399102</v>
      </c>
      <c r="C18" s="6">
        <v>40329</v>
      </c>
      <c r="D18" s="6">
        <v>40410</v>
      </c>
      <c r="E18" s="15">
        <v>0.2704</v>
      </c>
      <c r="F18" s="15">
        <v>1.0661</v>
      </c>
      <c r="G18" s="15">
        <v>-0.2035</v>
      </c>
      <c r="H18" s="15">
        <v>-0.1532</v>
      </c>
      <c r="I18" s="15">
        <v>-0.3112</v>
      </c>
      <c r="J18" s="15">
        <v>0.3872</v>
      </c>
      <c r="K18" s="15">
        <v>0.4785</v>
      </c>
      <c r="L18" s="15">
        <v>0.1793</v>
      </c>
      <c r="M18" s="15">
        <v>-0.2677</v>
      </c>
      <c r="N18" s="15">
        <v>-0.0541</v>
      </c>
      <c r="O18" s="15">
        <v>0.0963</v>
      </c>
      <c r="P18" s="15">
        <v>0.404</v>
      </c>
      <c r="Q18" s="14"/>
      <c r="R18" s="14">
        <f>SUM(E18:P18)/12</f>
        <v>0.157675</v>
      </c>
      <c r="S18" s="15"/>
      <c r="T18" s="15">
        <v>0.2538</v>
      </c>
      <c r="U18" s="15">
        <v>0.4935</v>
      </c>
      <c r="V18" s="15">
        <v>0.3445</v>
      </c>
      <c r="W18" s="15">
        <v>0.1826</v>
      </c>
      <c r="X18" s="15">
        <v>0.2813</v>
      </c>
      <c r="Y18" s="15">
        <v>0.2655</v>
      </c>
      <c r="Z18" s="15">
        <v>0.3099</v>
      </c>
      <c r="AA18" s="15">
        <v>0.2269</v>
      </c>
      <c r="AB18" s="15">
        <v>0.2678</v>
      </c>
      <c r="AC18" s="15">
        <v>0.1687</v>
      </c>
      <c r="AD18" s="15">
        <v>0.3935</v>
      </c>
      <c r="AE18" s="15">
        <v>0.2842</v>
      </c>
      <c r="AF18" s="2"/>
      <c r="AG18" s="15">
        <v>0.404</v>
      </c>
      <c r="AH18" s="15">
        <v>0.1334</v>
      </c>
      <c r="AI18" s="15">
        <v>0.0469</v>
      </c>
      <c r="AJ18" s="15">
        <v>0.1449</v>
      </c>
      <c r="AK18" s="15">
        <v>0.0464</v>
      </c>
      <c r="AL18" s="15">
        <v>0.0859</v>
      </c>
      <c r="AM18" s="16">
        <f>((1+E18)*(1+AL18)^11)^(1/12)-1</f>
        <v>0.100193447654454</v>
      </c>
      <c r="AN18" s="2"/>
    </row>
    <row r="19" s="2" customFormat="1" ht="15.75" spans="1:40">
      <c r="A19" s="2" t="s">
        <v>56</v>
      </c>
      <c r="B19" s="2">
        <v>932422</v>
      </c>
      <c r="C19" s="22">
        <v>41639</v>
      </c>
      <c r="D19" s="6">
        <v>45756</v>
      </c>
      <c r="E19" s="14">
        <v>0.6651</v>
      </c>
      <c r="F19" s="14">
        <v>0.0793</v>
      </c>
      <c r="G19" s="14">
        <v>0.0035</v>
      </c>
      <c r="H19" s="14">
        <v>0.2233</v>
      </c>
      <c r="I19" s="14">
        <v>-0.1155</v>
      </c>
      <c r="J19" s="14">
        <v>0.1213</v>
      </c>
      <c r="K19" s="14">
        <v>-0.0446</v>
      </c>
      <c r="L19" s="14">
        <v>0.156</v>
      </c>
      <c r="M19" s="14">
        <v>-0.0395</v>
      </c>
      <c r="N19" s="14">
        <v>0.0701</v>
      </c>
      <c r="O19" s="14">
        <v>0.2473</v>
      </c>
      <c r="P19" s="14">
        <v>0.0017</v>
      </c>
      <c r="Q19" s="14"/>
      <c r="R19" s="14">
        <f>SUM(E19:P19)/12</f>
        <v>0.114</v>
      </c>
      <c r="S19" s="15"/>
      <c r="T19" s="15">
        <v>0.1772</v>
      </c>
      <c r="U19" s="15">
        <v>0.3949</v>
      </c>
      <c r="V19" s="15">
        <v>0.1772</v>
      </c>
      <c r="W19" s="15">
        <v>0.0802</v>
      </c>
      <c r="X19" s="15">
        <v>0.1601</v>
      </c>
      <c r="Y19" s="15">
        <v>0.1514</v>
      </c>
      <c r="Z19" s="15">
        <v>0.1882</v>
      </c>
      <c r="AA19" s="15">
        <v>0.1522</v>
      </c>
      <c r="AB19" s="15">
        <v>0.17</v>
      </c>
      <c r="AC19" s="15">
        <v>0.1181</v>
      </c>
      <c r="AD19" s="15">
        <v>0.1659</v>
      </c>
      <c r="AE19" s="15">
        <v>0.1087</v>
      </c>
      <c r="AF19" s="15"/>
      <c r="AG19" s="16">
        <v>0.00169798469231308</v>
      </c>
      <c r="AH19" s="16">
        <v>0.10166861291372</v>
      </c>
      <c r="AI19" s="16">
        <v>0.082241894054311</v>
      </c>
      <c r="AJ19" s="16">
        <v>0.0685268633436289</v>
      </c>
      <c r="AK19" s="16">
        <v>0.0621630736115784</v>
      </c>
      <c r="AL19" s="16">
        <v>0.058223420763184</v>
      </c>
      <c r="AM19" s="16">
        <f>((1+E19)*(1+AL19)^11)^(1/12)-1</f>
        <v>0.0989618469888804</v>
      </c>
    </row>
    <row r="20" s="2" customFormat="1" ht="15.75" spans="1:40">
      <c r="A20" s="17" t="s">
        <v>57</v>
      </c>
      <c r="B20" s="20">
        <v>930632</v>
      </c>
      <c r="C20" s="6">
        <v>40908</v>
      </c>
      <c r="D20" s="6">
        <v>42136</v>
      </c>
      <c r="E20" s="15">
        <v>0.364</v>
      </c>
      <c r="F20" s="15">
        <v>0.0918</v>
      </c>
      <c r="G20" s="15">
        <v>-0.1478</v>
      </c>
      <c r="H20" s="15">
        <v>0.3972</v>
      </c>
      <c r="I20" s="15">
        <v>-0.4247</v>
      </c>
      <c r="J20" s="15">
        <v>0.2623</v>
      </c>
      <c r="K20" s="15">
        <v>0.3642</v>
      </c>
      <c r="L20" s="15">
        <v>0.784</v>
      </c>
      <c r="M20" s="15">
        <v>-0.2596</v>
      </c>
      <c r="N20" s="15">
        <v>-0.2471</v>
      </c>
      <c r="O20" s="15">
        <v>-0.066</v>
      </c>
      <c r="P20" s="15">
        <v>0.8939</v>
      </c>
      <c r="Q20" s="18"/>
      <c r="R20" s="14">
        <f>SUM(E20:P20)/12</f>
        <v>0.167683333333333</v>
      </c>
      <c r="S20" s="15"/>
      <c r="T20" s="15">
        <v>0.2529</v>
      </c>
      <c r="U20" s="15">
        <v>0.5012</v>
      </c>
      <c r="V20" s="15">
        <v>0.3771</v>
      </c>
      <c r="W20" s="15">
        <v>0.3215</v>
      </c>
      <c r="X20" s="15">
        <v>0.323</v>
      </c>
      <c r="Y20" s="15">
        <v>0.3101</v>
      </c>
      <c r="Z20" s="15">
        <v>0.377</v>
      </c>
      <c r="AA20" s="15">
        <v>0.4622</v>
      </c>
      <c r="AB20" s="15">
        <v>0.3643</v>
      </c>
      <c r="AC20" s="15">
        <v>0.2226</v>
      </c>
      <c r="AD20" s="15">
        <v>0.3429</v>
      </c>
      <c r="AE20" s="15">
        <v>0.3035</v>
      </c>
      <c r="AF20" s="2"/>
      <c r="AG20" s="16">
        <v>0.893872817833167</v>
      </c>
      <c r="AH20" s="16">
        <v>0.100205205159584</v>
      </c>
      <c r="AI20" s="16">
        <v>0.119569229540326</v>
      </c>
      <c r="AJ20" s="16">
        <v>0.171535040660459</v>
      </c>
      <c r="AK20" s="16">
        <v>0.103920760507768</v>
      </c>
      <c r="AL20" s="16">
        <v>0.0771621992656473</v>
      </c>
      <c r="AM20" s="16">
        <f>((1+E20)*(1+AL20)^11)^(1/12)-1</f>
        <v>0.0985644556282141</v>
      </c>
    </row>
    <row r="21" s="2" customFormat="1" ht="15.75" spans="1:40">
      <c r="A21" s="19" t="s">
        <v>58</v>
      </c>
      <c r="B21" s="38" t="s">
        <v>59</v>
      </c>
      <c r="C21" s="21">
        <v>38352</v>
      </c>
      <c r="D21" s="6">
        <v>41038</v>
      </c>
      <c r="E21" s="15">
        <v>0.3734</v>
      </c>
      <c r="F21" s="15">
        <v>0.051</v>
      </c>
      <c r="G21" s="15">
        <v>-0.0857</v>
      </c>
      <c r="H21" s="15">
        <v>0.2256</v>
      </c>
      <c r="I21" s="15">
        <v>-0.4065</v>
      </c>
      <c r="J21" s="15">
        <v>0.2231</v>
      </c>
      <c r="K21" s="15">
        <v>0.3631</v>
      </c>
      <c r="L21" s="15">
        <v>0.3131</v>
      </c>
      <c r="M21" s="15">
        <v>-0.2169</v>
      </c>
      <c r="N21" s="15">
        <v>-0.1267</v>
      </c>
      <c r="O21" s="15">
        <v>0.0219</v>
      </c>
      <c r="P21" s="15">
        <v>0.9748</v>
      </c>
      <c r="Q21" s="18"/>
      <c r="R21" s="14">
        <f>SUM(E21:P21)/12</f>
        <v>0.142516666666667</v>
      </c>
      <c r="S21" s="15"/>
      <c r="T21" s="15">
        <v>0.2258</v>
      </c>
      <c r="U21" s="15">
        <v>0.4651</v>
      </c>
      <c r="V21" s="15">
        <v>0.3213</v>
      </c>
      <c r="W21" s="15">
        <v>0.227</v>
      </c>
      <c r="X21" s="15">
        <v>0.2574</v>
      </c>
      <c r="Y21" s="15">
        <v>0.2547</v>
      </c>
      <c r="Z21" s="15">
        <v>0.3365</v>
      </c>
      <c r="AA21" s="15">
        <v>0.3798</v>
      </c>
      <c r="AB21" s="15">
        <v>0.3153</v>
      </c>
      <c r="AC21" s="15">
        <v>0.1948</v>
      </c>
      <c r="AD21" s="15">
        <v>0.295</v>
      </c>
      <c r="AE21" s="15">
        <v>0.2789</v>
      </c>
      <c r="AF21" s="2"/>
      <c r="AG21" s="15">
        <v>0.9748</v>
      </c>
      <c r="AH21" s="15">
        <v>0.2079</v>
      </c>
      <c r="AI21" s="15">
        <v>0.1263</v>
      </c>
      <c r="AJ21" s="15">
        <v>0.1711</v>
      </c>
      <c r="AK21" s="15">
        <v>0.0914</v>
      </c>
      <c r="AL21" s="15">
        <v>0.0703</v>
      </c>
      <c r="AM21" s="16">
        <f>((1+E21)*(1+AL21)^11)^(1/12)-1</f>
        <v>0.092772654140624</v>
      </c>
    </row>
    <row r="22" s="2" customFormat="1" ht="15.75" spans="1:40">
      <c r="A22" s="19" t="s">
        <v>60</v>
      </c>
      <c r="B22" s="20">
        <v>930697</v>
      </c>
      <c r="C22" s="21">
        <v>38352</v>
      </c>
      <c r="D22" s="6">
        <v>42192</v>
      </c>
      <c r="E22" s="15">
        <v>0.1499</v>
      </c>
      <c r="F22" s="15">
        <v>0.5684</v>
      </c>
      <c r="G22" s="15">
        <v>-0.0312</v>
      </c>
      <c r="H22" s="15">
        <v>0.3616</v>
      </c>
      <c r="I22" s="15">
        <v>-0.3481</v>
      </c>
      <c r="J22" s="15">
        <v>0.4083</v>
      </c>
      <c r="K22" s="15">
        <v>0.3251</v>
      </c>
      <c r="L22" s="15">
        <v>-0.107</v>
      </c>
      <c r="M22" s="15">
        <v>-0.2202</v>
      </c>
      <c r="N22" s="15">
        <v>0.0299</v>
      </c>
      <c r="O22" s="15">
        <v>0.2226</v>
      </c>
      <c r="P22" s="15">
        <v>0.1347</v>
      </c>
      <c r="Q22" s="18"/>
      <c r="R22" s="14">
        <f>SUM(E22:P22)/12</f>
        <v>0.1245</v>
      </c>
      <c r="S22" s="15"/>
      <c r="T22" s="15">
        <v>0.2022</v>
      </c>
      <c r="U22" s="15">
        <v>0.4063</v>
      </c>
      <c r="V22" s="15">
        <v>0.2551</v>
      </c>
      <c r="W22" s="15">
        <v>0.1761</v>
      </c>
      <c r="X22" s="15">
        <v>0.2645</v>
      </c>
      <c r="Y22" s="15">
        <v>0.2434</v>
      </c>
      <c r="Z22" s="15">
        <v>0.264</v>
      </c>
      <c r="AA22" s="15">
        <v>0.2165</v>
      </c>
      <c r="AB22" s="15">
        <v>0.233</v>
      </c>
      <c r="AC22" s="15">
        <v>0.1723</v>
      </c>
      <c r="AD22" s="15">
        <v>0.2464</v>
      </c>
      <c r="AE22" s="15">
        <v>0.1861</v>
      </c>
      <c r="AF22" s="2"/>
      <c r="AG22" s="16">
        <v>0.134657627094586</v>
      </c>
      <c r="AH22" s="16">
        <v>0.126268386239526</v>
      </c>
      <c r="AI22" s="16">
        <v>-0.00103091170618697</v>
      </c>
      <c r="AJ22" s="16">
        <v>0.0924142847028799</v>
      </c>
      <c r="AK22" s="16">
        <v>0.0570816887748371</v>
      </c>
      <c r="AL22" s="16">
        <v>0.0870329206198335</v>
      </c>
      <c r="AM22" s="16">
        <f>((1+E22)*(1+AL22)^11)^(1/12)-1</f>
        <v>0.0921378993712518</v>
      </c>
    </row>
    <row r="23" ht="15.75" spans="1:40">
      <c r="A23" s="2" t="s">
        <v>61</v>
      </c>
      <c r="B23" s="2">
        <v>399019</v>
      </c>
      <c r="C23" s="6">
        <v>41089</v>
      </c>
      <c r="D23" s="6">
        <v>45245</v>
      </c>
      <c r="E23" s="15">
        <v>0.43</v>
      </c>
      <c r="F23" s="15">
        <v>1.2877</v>
      </c>
      <c r="G23" s="15">
        <v>-0.2257</v>
      </c>
      <c r="H23" s="15">
        <v>-0.2211</v>
      </c>
      <c r="I23" s="15">
        <v>-0.347</v>
      </c>
      <c r="J23" s="15">
        <v>0.3284</v>
      </c>
      <c r="K23" s="15">
        <v>0.1737</v>
      </c>
      <c r="L23" s="15">
        <v>0.2807</v>
      </c>
      <c r="M23" s="15">
        <v>-0.253</v>
      </c>
      <c r="N23" s="15">
        <v>0.0552</v>
      </c>
      <c r="O23" s="15">
        <v>0.0974</v>
      </c>
      <c r="P23" s="15">
        <v>0.2916</v>
      </c>
      <c r="Q23" s="14"/>
      <c r="R23" s="14">
        <f>SUM(E23:P23)/12</f>
        <v>0.158158333333333</v>
      </c>
      <c r="S23" s="15"/>
      <c r="T23" s="15">
        <v>0.2715</v>
      </c>
      <c r="U23" s="15">
        <v>0.4819</v>
      </c>
      <c r="V23" s="15">
        <v>0.3645</v>
      </c>
      <c r="W23" s="15">
        <v>0.203</v>
      </c>
      <c r="X23" s="15">
        <v>0.2917</v>
      </c>
      <c r="Y23" s="15">
        <v>0.2922</v>
      </c>
      <c r="Z23" s="15">
        <v>0.3461</v>
      </c>
      <c r="AA23" s="15">
        <v>0.2328</v>
      </c>
      <c r="AB23" s="15">
        <v>0.2872</v>
      </c>
      <c r="AC23" s="15">
        <v>0.221</v>
      </c>
      <c r="AD23" s="15">
        <v>0.4508</v>
      </c>
      <c r="AE23" s="15">
        <v>0.318</v>
      </c>
      <c r="AF23" s="2"/>
      <c r="AG23" s="15">
        <v>0.2916</v>
      </c>
      <c r="AH23" s="15">
        <v>0.1436</v>
      </c>
      <c r="AI23" s="15">
        <v>0.0743</v>
      </c>
      <c r="AJ23" s="15">
        <v>0.1214</v>
      </c>
      <c r="AK23" s="15">
        <v>0.0141</v>
      </c>
      <c r="AL23" s="15">
        <v>0.0655</v>
      </c>
      <c r="AM23" s="16">
        <f>((1+E23)*(1+AL23)^11)^(1/12)-1</f>
        <v>0.0919481143541185</v>
      </c>
    </row>
    <row r="24" s="5" customFormat="1" ht="15.75" spans="1:40">
      <c r="A24" s="2" t="s">
        <v>62</v>
      </c>
      <c r="B24" s="2">
        <v>930955</v>
      </c>
      <c r="C24" s="22">
        <v>38716</v>
      </c>
      <c r="D24" s="6">
        <v>42881</v>
      </c>
      <c r="E24" s="14">
        <v>0.6661</v>
      </c>
      <c r="F24" s="14">
        <v>0.2597</v>
      </c>
      <c r="G24" s="14">
        <v>-0.0142</v>
      </c>
      <c r="H24" s="14">
        <v>0.1203</v>
      </c>
      <c r="I24" s="14">
        <v>-0.1699</v>
      </c>
      <c r="J24" s="14">
        <v>0.1243</v>
      </c>
      <c r="K24" s="14">
        <v>-0.0198</v>
      </c>
      <c r="L24" s="14">
        <v>0.139</v>
      </c>
      <c r="M24" s="14">
        <v>-0.0392</v>
      </c>
      <c r="N24" s="14">
        <v>0.0874</v>
      </c>
      <c r="O24" s="14">
        <v>0.127</v>
      </c>
      <c r="P24" s="14">
        <v>-0.0071</v>
      </c>
      <c r="Q24" s="14"/>
      <c r="R24" s="14">
        <f>SUM(E24:P24)/12</f>
        <v>0.106133333333333</v>
      </c>
      <c r="S24" s="15"/>
      <c r="T24" s="15">
        <v>0.1794</v>
      </c>
      <c r="U24" s="15">
        <v>0.4025</v>
      </c>
      <c r="V24" s="15">
        <v>0.2006</v>
      </c>
      <c r="W24" s="15">
        <v>0.0751</v>
      </c>
      <c r="X24" s="15">
        <v>0.1711</v>
      </c>
      <c r="Y24" s="15">
        <v>0.161</v>
      </c>
      <c r="Z24" s="15">
        <v>0.1889</v>
      </c>
      <c r="AA24" s="15">
        <v>0.1337</v>
      </c>
      <c r="AB24" s="15">
        <v>0.1729</v>
      </c>
      <c r="AC24" s="15">
        <v>0.1134</v>
      </c>
      <c r="AD24" s="15">
        <v>0.1891</v>
      </c>
      <c r="AE24" s="15">
        <v>0.1131</v>
      </c>
      <c r="AF24" s="15"/>
      <c r="AG24" s="16">
        <v>-0.007067646632826</v>
      </c>
      <c r="AH24" s="16">
        <v>0.0675915829846332</v>
      </c>
      <c r="AI24" s="16">
        <v>0.0589481558393008</v>
      </c>
      <c r="AJ24" s="16">
        <v>0.05631552431302</v>
      </c>
      <c r="AK24" s="16">
        <v>0.0351522997629392</v>
      </c>
      <c r="AL24" s="16">
        <v>0.0491260707190331</v>
      </c>
      <c r="AM24" s="16">
        <f>((1+E24)*(1+AL24)^11)^(1/12)-1</f>
        <v>0.0903530132399097</v>
      </c>
      <c r="AN24" s="2"/>
    </row>
    <row r="25" ht="15.75" spans="1:40">
      <c r="A25" s="25" t="s">
        <v>63</v>
      </c>
      <c r="B25" s="37" t="s">
        <v>64</v>
      </c>
      <c r="C25" s="26">
        <v>38352</v>
      </c>
      <c r="D25" s="27">
        <v>39997</v>
      </c>
      <c r="E25" s="14">
        <v>0.1483</v>
      </c>
      <c r="F25" s="14">
        <v>0.2649</v>
      </c>
      <c r="G25" s="14">
        <v>0.0064</v>
      </c>
      <c r="H25" s="14">
        <v>0.5598</v>
      </c>
      <c r="I25" s="14">
        <v>-0.2309</v>
      </c>
      <c r="J25" s="14">
        <v>0.6472</v>
      </c>
      <c r="K25" s="14">
        <v>0.7016</v>
      </c>
      <c r="L25" s="14">
        <v>-0.0809</v>
      </c>
      <c r="M25" s="14">
        <v>-0.1445</v>
      </c>
      <c r="N25" s="14">
        <v>-0.1922</v>
      </c>
      <c r="O25" s="14">
        <v>-0.0672</v>
      </c>
      <c r="P25" s="14">
        <v>-0.062</v>
      </c>
      <c r="Q25" s="14"/>
      <c r="R25" s="14">
        <f>SUM(E25:P25)/12</f>
        <v>0.129208333333333</v>
      </c>
      <c r="S25" s="15"/>
      <c r="T25" s="15">
        <v>0.1759</v>
      </c>
      <c r="U25" s="15">
        <v>0.393</v>
      </c>
      <c r="V25" s="15">
        <v>0.2256</v>
      </c>
      <c r="W25" s="15">
        <v>0.1759</v>
      </c>
      <c r="X25" s="15">
        <v>0.2925</v>
      </c>
      <c r="Y25" s="15">
        <v>0.2384</v>
      </c>
      <c r="Z25" s="15">
        <v>0.2708</v>
      </c>
      <c r="AA25" s="15">
        <v>0.2838</v>
      </c>
      <c r="AB25" s="15">
        <v>0.243</v>
      </c>
      <c r="AC25" s="15">
        <v>0.169</v>
      </c>
      <c r="AD25" s="15">
        <v>0.2652</v>
      </c>
      <c r="AE25" s="15">
        <v>0.1429</v>
      </c>
      <c r="AF25" s="15"/>
      <c r="AG25" s="16">
        <v>-0.0619860816437759</v>
      </c>
      <c r="AH25" s="16">
        <v>-0.109217140887355</v>
      </c>
      <c r="AI25" s="16">
        <v>-0.110830329182537</v>
      </c>
      <c r="AJ25" s="16">
        <v>0.0653774525025579</v>
      </c>
      <c r="AK25" s="16">
        <v>0.0719529568331407</v>
      </c>
      <c r="AL25" s="16">
        <v>0.0819755899293462</v>
      </c>
      <c r="AM25" s="16">
        <f>((1+E25)*(1+AL25)^11)^(1/12)-1</f>
        <v>0.0873531611976235</v>
      </c>
    </row>
    <row r="26" ht="15.75" spans="1:40">
      <c r="A26" s="19" t="s">
        <v>65</v>
      </c>
      <c r="B26" s="20">
        <v>399808</v>
      </c>
      <c r="C26" s="21">
        <v>40908</v>
      </c>
      <c r="D26" s="6">
        <v>42045</v>
      </c>
      <c r="E26" s="15">
        <v>0.3354</v>
      </c>
      <c r="F26" s="15">
        <v>0.5044</v>
      </c>
      <c r="G26" s="15">
        <v>-0.1972</v>
      </c>
      <c r="H26" s="15">
        <v>0.0815</v>
      </c>
      <c r="I26" s="15">
        <v>-0.3446</v>
      </c>
      <c r="J26" s="15">
        <v>0.2432</v>
      </c>
      <c r="K26" s="15">
        <v>1.0529</v>
      </c>
      <c r="L26" s="15">
        <v>0.4935</v>
      </c>
      <c r="M26" s="15">
        <v>-0.281</v>
      </c>
      <c r="N26" s="15">
        <v>-0.3585</v>
      </c>
      <c r="O26" s="15">
        <v>-0.0703</v>
      </c>
      <c r="P26" s="15">
        <v>0.4244</v>
      </c>
      <c r="Q26" s="18"/>
      <c r="R26" s="14">
        <f>SUM(E26:P26)/12</f>
        <v>0.156975</v>
      </c>
      <c r="S26" s="15"/>
      <c r="T26" s="15">
        <v>0.2224</v>
      </c>
      <c r="U26" s="15">
        <v>0.4816</v>
      </c>
      <c r="V26" s="15">
        <v>0.3178</v>
      </c>
      <c r="W26" s="15">
        <v>0.1668</v>
      </c>
      <c r="X26" s="15">
        <v>0.2435</v>
      </c>
      <c r="Y26" s="15">
        <v>0.2331</v>
      </c>
      <c r="Z26" s="15">
        <v>0.3433</v>
      </c>
      <c r="AA26" s="15">
        <v>0.3743</v>
      </c>
      <c r="AB26" s="15">
        <v>0.3427</v>
      </c>
      <c r="AC26" s="15">
        <v>0.2277</v>
      </c>
      <c r="AD26" s="15">
        <v>0.3535</v>
      </c>
      <c r="AE26" s="15">
        <v>0.2803</v>
      </c>
      <c r="AG26" s="16">
        <v>0.424431490421107</v>
      </c>
      <c r="AH26" s="16">
        <v>-0.0529058980379562</v>
      </c>
      <c r="AI26" s="16">
        <v>-0.0182033749697655</v>
      </c>
      <c r="AJ26" s="16">
        <v>0.128311781176597</v>
      </c>
      <c r="AK26" s="16">
        <v>0.0572384068663403</v>
      </c>
      <c r="AL26" s="16">
        <v>0.0647056837503679</v>
      </c>
      <c r="AM26" s="16">
        <f>((1+E26)*(1+AL26)^11)^(1/12)-1</f>
        <v>0.0849957968124215</v>
      </c>
    </row>
    <row r="27" ht="15.75" spans="1:40">
      <c r="A27" s="2" t="s">
        <v>66</v>
      </c>
      <c r="B27" s="2">
        <v>930740</v>
      </c>
      <c r="C27" s="22">
        <v>38352</v>
      </c>
      <c r="D27" s="6">
        <v>43438</v>
      </c>
      <c r="E27" s="14">
        <v>0.7205</v>
      </c>
      <c r="F27" s="14">
        <v>0.1305</v>
      </c>
      <c r="G27" s="14">
        <v>0.0041</v>
      </c>
      <c r="H27" s="14">
        <v>0.2142</v>
      </c>
      <c r="I27" s="14">
        <v>-0.1918</v>
      </c>
      <c r="J27" s="14">
        <v>0.1591</v>
      </c>
      <c r="K27" s="14">
        <v>-0.0705</v>
      </c>
      <c r="L27" s="14">
        <v>0.0542</v>
      </c>
      <c r="M27" s="14">
        <v>-0.0588</v>
      </c>
      <c r="N27" s="14">
        <v>0.1024</v>
      </c>
      <c r="O27" s="14">
        <v>0.237</v>
      </c>
      <c r="P27" s="14">
        <v>-0.0546</v>
      </c>
      <c r="Q27" s="14"/>
      <c r="R27" s="14">
        <f>SUM(E27:P27)/12</f>
        <v>0.103858333333333</v>
      </c>
      <c r="S27" s="15"/>
      <c r="T27" s="15">
        <v>0.1971</v>
      </c>
      <c r="U27" s="15">
        <v>0.3794</v>
      </c>
      <c r="V27" s="15">
        <v>0.169</v>
      </c>
      <c r="W27" s="15">
        <v>0.0881</v>
      </c>
      <c r="X27" s="15">
        <v>0.1772</v>
      </c>
      <c r="Y27" s="15">
        <v>0.1642</v>
      </c>
      <c r="Z27" s="15">
        <v>0.1821</v>
      </c>
      <c r="AA27" s="15">
        <v>0.133</v>
      </c>
      <c r="AB27" s="15">
        <v>0.1612</v>
      </c>
      <c r="AC27" s="15">
        <v>0.1308</v>
      </c>
      <c r="AD27" s="15">
        <v>0.1531</v>
      </c>
      <c r="AE27" s="15">
        <v>0.1032</v>
      </c>
      <c r="AF27" s="15"/>
      <c r="AG27" s="16">
        <v>-0.0545876060260791</v>
      </c>
      <c r="AH27" s="16">
        <v>0.0883876313703005</v>
      </c>
      <c r="AI27" s="16">
        <v>0.050478341789699</v>
      </c>
      <c r="AJ27" s="16">
        <v>0.0468912494155369</v>
      </c>
      <c r="AK27" s="16">
        <v>0.034117707902279</v>
      </c>
      <c r="AL27" s="16">
        <v>0.0397425583708797</v>
      </c>
      <c r="AM27" s="16">
        <f>((1+E27)*(1+AL27)^11)^(1/12)-1</f>
        <v>0.0843094066692716</v>
      </c>
    </row>
    <row r="28" ht="15.75" spans="1:40">
      <c r="A28" s="2" t="s">
        <v>67</v>
      </c>
      <c r="B28" s="2">
        <v>932154</v>
      </c>
      <c r="C28" s="22">
        <v>41639</v>
      </c>
      <c r="D28" s="6">
        <v>45756</v>
      </c>
      <c r="E28" s="14">
        <v>0.5475</v>
      </c>
      <c r="F28" s="14">
        <v>0.1021</v>
      </c>
      <c r="G28" s="14">
        <v>-0.0411</v>
      </c>
      <c r="H28" s="14">
        <v>0.2641</v>
      </c>
      <c r="I28" s="14">
        <v>-0.175</v>
      </c>
      <c r="J28" s="14">
        <v>0.2049</v>
      </c>
      <c r="K28" s="14">
        <v>0.0846</v>
      </c>
      <c r="L28" s="14">
        <v>0.0934</v>
      </c>
      <c r="M28" s="14">
        <v>-0.0864</v>
      </c>
      <c r="N28" s="14">
        <v>-0.0363</v>
      </c>
      <c r="O28" s="14">
        <v>0.1805</v>
      </c>
      <c r="P28" s="14">
        <v>0.0423</v>
      </c>
      <c r="Q28" s="14"/>
      <c r="R28" s="14">
        <f>SUM(E28:P28)/12</f>
        <v>0.0983833333333333</v>
      </c>
      <c r="S28" s="15"/>
      <c r="T28" s="15">
        <v>0.1728</v>
      </c>
      <c r="U28" s="15">
        <v>0.3849</v>
      </c>
      <c r="V28" s="15">
        <v>0.1835</v>
      </c>
      <c r="W28" s="15">
        <v>0.0904</v>
      </c>
      <c r="X28" s="15">
        <v>0.1821</v>
      </c>
      <c r="Y28" s="15">
        <v>0.1691</v>
      </c>
      <c r="Z28" s="15">
        <v>0.2066</v>
      </c>
      <c r="AA28" s="15">
        <v>0.1763</v>
      </c>
      <c r="AB28" s="15">
        <v>0.2116</v>
      </c>
      <c r="AC28" s="15">
        <v>0.1267</v>
      </c>
      <c r="AD28" s="15">
        <v>0.1876</v>
      </c>
      <c r="AE28" s="15">
        <v>0.1236</v>
      </c>
      <c r="AF28" s="15"/>
      <c r="AG28" s="16">
        <v>0.042319749216301</v>
      </c>
      <c r="AH28" s="16">
        <v>0.0584530619017576</v>
      </c>
      <c r="AI28" s="16">
        <v>0.0344506324276748</v>
      </c>
      <c r="AJ28" s="16">
        <v>0.0644136897914025</v>
      </c>
      <c r="AK28" s="16">
        <v>0.0546513434701623</v>
      </c>
      <c r="AL28" s="16">
        <v>0.049758698307367</v>
      </c>
      <c r="AM28" s="16">
        <f>((1+E28)*(1+AL28)^11)^(1/12)-1</f>
        <v>0.0842628550914082</v>
      </c>
    </row>
    <row r="29" ht="15.75" spans="1:40">
      <c r="A29" s="2" t="s">
        <v>68</v>
      </c>
      <c r="B29" s="2">
        <v>399673</v>
      </c>
      <c r="C29" s="6">
        <v>40329</v>
      </c>
      <c r="D29" s="6">
        <v>41808</v>
      </c>
      <c r="E29" s="15">
        <v>0.0957</v>
      </c>
      <c r="F29" s="15">
        <v>0.8443</v>
      </c>
      <c r="G29" s="15">
        <v>-0.3162</v>
      </c>
      <c r="H29" s="15">
        <v>-0.1439</v>
      </c>
      <c r="I29" s="15">
        <v>-0.3409</v>
      </c>
      <c r="J29" s="15">
        <v>0.5093</v>
      </c>
      <c r="K29" s="15">
        <v>0.8874</v>
      </c>
      <c r="L29" s="15">
        <v>0.1688</v>
      </c>
      <c r="M29" s="15">
        <v>-0.2983</v>
      </c>
      <c r="N29" s="15">
        <v>-0.24</v>
      </c>
      <c r="O29" s="15">
        <v>0.2107</v>
      </c>
      <c r="P29" s="15">
        <v>0.5745</v>
      </c>
      <c r="Q29" s="14"/>
      <c r="R29" s="14">
        <f>SUM(E29:P29)/12</f>
        <v>0.162616666666667</v>
      </c>
      <c r="S29" s="15"/>
      <c r="T29" s="15">
        <v>0.2633</v>
      </c>
      <c r="U29" s="15">
        <v>0.5338</v>
      </c>
      <c r="V29" s="15">
        <v>0.3426</v>
      </c>
      <c r="W29" s="15">
        <v>0.1903</v>
      </c>
      <c r="X29" s="15">
        <v>0.3173</v>
      </c>
      <c r="Y29" s="15">
        <v>0.2746</v>
      </c>
      <c r="Z29" s="15">
        <v>0.334</v>
      </c>
      <c r="AA29" s="15">
        <v>0.3085</v>
      </c>
      <c r="AB29" s="15">
        <v>0.3064</v>
      </c>
      <c r="AC29" s="15">
        <v>0.198</v>
      </c>
      <c r="AD29" s="15">
        <v>0.4027</v>
      </c>
      <c r="AE29" s="15">
        <v>0.321</v>
      </c>
      <c r="AG29" s="15">
        <v>0.5745</v>
      </c>
      <c r="AH29" s="15">
        <v>0.1316</v>
      </c>
      <c r="AI29" s="15">
        <v>0.0351</v>
      </c>
      <c r="AJ29" s="15">
        <v>0.1903</v>
      </c>
      <c r="AK29" s="15">
        <v>0.0745</v>
      </c>
      <c r="AL29" s="15">
        <v>0.0832</v>
      </c>
      <c r="AM29" s="16">
        <f>((1+E29)*(1+AL29)^11)^(1/12)-1</f>
        <v>0.0842361974555836</v>
      </c>
    </row>
    <row r="30" ht="15.75" spans="1:40">
      <c r="A30" s="2" t="s">
        <v>69</v>
      </c>
      <c r="B30" s="2">
        <v>931849</v>
      </c>
      <c r="C30" s="22">
        <v>41639</v>
      </c>
      <c r="D30" s="6">
        <v>45433</v>
      </c>
      <c r="E30" s="14">
        <v>0.412</v>
      </c>
      <c r="F30" s="14">
        <v>0.6636</v>
      </c>
      <c r="G30" s="14">
        <v>-0.0712</v>
      </c>
      <c r="H30" s="14">
        <v>-0.0925</v>
      </c>
      <c r="I30" s="14">
        <v>-0.2691</v>
      </c>
      <c r="J30" s="14">
        <v>0.2507</v>
      </c>
      <c r="K30" s="14">
        <v>0.0792</v>
      </c>
      <c r="L30" s="14">
        <v>0.2215</v>
      </c>
      <c r="M30" s="14">
        <v>-0.0697</v>
      </c>
      <c r="N30" s="14">
        <v>0.0458</v>
      </c>
      <c r="O30" s="14">
        <v>0.0704</v>
      </c>
      <c r="P30" s="14">
        <v>0.0464</v>
      </c>
      <c r="Q30" s="14"/>
      <c r="R30" s="14">
        <f>SUM(E30:P30)/12</f>
        <v>0.107258333333333</v>
      </c>
      <c r="S30" s="15"/>
      <c r="T30" s="15">
        <v>0.2077</v>
      </c>
      <c r="U30" s="15">
        <v>0.4769</v>
      </c>
      <c r="V30" s="15">
        <v>0.292</v>
      </c>
      <c r="W30" s="15">
        <v>0.1436</v>
      </c>
      <c r="X30" s="15">
        <v>0.2048</v>
      </c>
      <c r="Y30" s="15">
        <v>0.2033</v>
      </c>
      <c r="Z30" s="15">
        <v>0.2161</v>
      </c>
      <c r="AA30" s="15">
        <v>0.1614</v>
      </c>
      <c r="AB30" s="15">
        <v>0.2085</v>
      </c>
      <c r="AC30" s="15">
        <v>0.1095</v>
      </c>
      <c r="AD30" s="15">
        <v>0.2354</v>
      </c>
      <c r="AE30" s="15">
        <v>0.1352</v>
      </c>
      <c r="AF30" s="15"/>
      <c r="AG30" s="16">
        <v>0.0463806959720228</v>
      </c>
      <c r="AH30" s="16">
        <v>0.0541529208023228</v>
      </c>
      <c r="AI30" s="16">
        <v>0.0588776404493274</v>
      </c>
      <c r="AJ30" s="16">
        <v>0.0873089857086324</v>
      </c>
      <c r="AK30" s="16">
        <v>0.0196886620267753</v>
      </c>
      <c r="AL30" s="16">
        <v>0.0570765883804587</v>
      </c>
      <c r="AM30" s="16">
        <f>((1+E30)*(1+AL30)^11)^(1/12)-1</f>
        <v>0.0828886652543583</v>
      </c>
    </row>
    <row r="31" ht="15.75" spans="1:40">
      <c r="A31" s="25" t="s">
        <v>70</v>
      </c>
      <c r="B31" s="2">
        <v>931645</v>
      </c>
      <c r="C31" s="26">
        <v>41639</v>
      </c>
      <c r="D31" s="6">
        <v>45366</v>
      </c>
      <c r="E31" s="15">
        <v>0.3034</v>
      </c>
      <c r="F31" s="15">
        <v>0.7791</v>
      </c>
      <c r="G31" s="15">
        <v>-0.1332</v>
      </c>
      <c r="H31" s="15">
        <v>-0.059</v>
      </c>
      <c r="I31" s="15">
        <v>-0.2813</v>
      </c>
      <c r="J31" s="15">
        <v>0.2624</v>
      </c>
      <c r="K31" s="15">
        <v>0.1452</v>
      </c>
      <c r="L31" s="15">
        <v>0.2721</v>
      </c>
      <c r="M31" s="15">
        <v>-0.1264</v>
      </c>
      <c r="N31" s="15">
        <v>-0.0256</v>
      </c>
      <c r="O31" s="15">
        <v>0.1055</v>
      </c>
      <c r="P31" s="15">
        <v>0.055</v>
      </c>
      <c r="Q31" s="14"/>
      <c r="R31" s="14">
        <f>SUM(E31:P31)/12</f>
        <v>0.1081</v>
      </c>
      <c r="S31" s="15"/>
      <c r="T31" s="15">
        <v>0.2234</v>
      </c>
      <c r="U31" s="15">
        <v>0.482</v>
      </c>
      <c r="V31" s="15">
        <v>0.3064</v>
      </c>
      <c r="W31" s="15">
        <v>0.1536</v>
      </c>
      <c r="X31" s="15">
        <v>0.2276</v>
      </c>
      <c r="Y31" s="15">
        <v>0.218</v>
      </c>
      <c r="Z31" s="15">
        <v>0.2277</v>
      </c>
      <c r="AA31" s="15">
        <v>0.1843</v>
      </c>
      <c r="AB31" s="15">
        <v>0.2236</v>
      </c>
      <c r="AC31" s="15">
        <v>0.1174</v>
      </c>
      <c r="AD31" s="15">
        <v>0.2418</v>
      </c>
      <c r="AE31" s="15">
        <v>0.1399</v>
      </c>
      <c r="AF31" s="15"/>
      <c r="AG31" s="16">
        <v>0.0550426347692283</v>
      </c>
      <c r="AH31" s="16">
        <v>0.0435664764086534</v>
      </c>
      <c r="AI31" s="16">
        <v>0.0477976071808759</v>
      </c>
      <c r="AJ31" s="16">
        <v>0.0898103748641215</v>
      </c>
      <c r="AK31" s="16">
        <v>0.0237165320532866</v>
      </c>
      <c r="AL31" s="16">
        <v>0.0603036102934573</v>
      </c>
      <c r="AM31" s="16">
        <f>((1+E31)*(1+AL31)^11)^(1/12)-1</f>
        <v>0.0787004581973627</v>
      </c>
    </row>
    <row r="32" ht="15.75" spans="1:40">
      <c r="A32" s="25" t="s">
        <v>71</v>
      </c>
      <c r="B32" s="37" t="s">
        <v>72</v>
      </c>
      <c r="C32" s="26">
        <v>38352</v>
      </c>
      <c r="D32" s="27">
        <v>39997</v>
      </c>
      <c r="E32" s="14">
        <v>0.2225</v>
      </c>
      <c r="F32" s="14">
        <v>0.6186</v>
      </c>
      <c r="G32" s="14">
        <v>-0.2327</v>
      </c>
      <c r="H32" s="14">
        <v>0.1231</v>
      </c>
      <c r="I32" s="14">
        <v>-0.3603</v>
      </c>
      <c r="J32" s="14">
        <v>0.6333</v>
      </c>
      <c r="K32" s="14">
        <v>0.2318</v>
      </c>
      <c r="L32" s="14">
        <v>0.0185</v>
      </c>
      <c r="M32" s="14">
        <v>-0.3549</v>
      </c>
      <c r="N32" s="14">
        <v>0.0223</v>
      </c>
      <c r="O32" s="14">
        <v>0.1948</v>
      </c>
      <c r="P32" s="14">
        <v>0.3969</v>
      </c>
      <c r="Q32" s="14"/>
      <c r="R32" s="14">
        <f>SUM(E32:P32)/12</f>
        <v>0.126158333333333</v>
      </c>
      <c r="S32" s="15"/>
      <c r="T32" s="15">
        <v>0.2294</v>
      </c>
      <c r="U32" s="15">
        <v>0.4941</v>
      </c>
      <c r="V32" s="15">
        <v>0.2894</v>
      </c>
      <c r="W32" s="15">
        <v>0.1762</v>
      </c>
      <c r="X32" s="15">
        <v>0.3114</v>
      </c>
      <c r="Y32" s="15">
        <v>0.3092</v>
      </c>
      <c r="Z32" s="15">
        <v>0.3408</v>
      </c>
      <c r="AA32" s="15">
        <v>0.2206</v>
      </c>
      <c r="AB32" s="15">
        <v>0.2756</v>
      </c>
      <c r="AC32" s="15">
        <v>0.2419</v>
      </c>
      <c r="AD32" s="15">
        <v>0.3513</v>
      </c>
      <c r="AE32" s="15">
        <v>0.2982</v>
      </c>
      <c r="AF32" s="15"/>
      <c r="AG32" s="16">
        <v>0.396901090864769</v>
      </c>
      <c r="AH32" s="16">
        <v>0.194925786826612</v>
      </c>
      <c r="AI32" s="16">
        <v>0.0231073567417852</v>
      </c>
      <c r="AJ32" s="16">
        <v>0.123206854219816</v>
      </c>
      <c r="AK32" s="16">
        <v>0.055095269362947</v>
      </c>
      <c r="AL32" s="16">
        <v>0.0656461254244396</v>
      </c>
      <c r="AM32" s="16">
        <f>((1+E32)*(1+AL32)^11)^(1/12)-1</f>
        <v>0.07791040715899</v>
      </c>
    </row>
    <row r="33" ht="15.75" spans="1:39">
      <c r="A33" s="2" t="s">
        <v>73</v>
      </c>
      <c r="B33" s="2">
        <v>399006</v>
      </c>
      <c r="C33" s="6">
        <v>40329</v>
      </c>
      <c r="D33" s="6">
        <v>40330</v>
      </c>
      <c r="E33" s="15">
        <v>0.1283</v>
      </c>
      <c r="F33" s="15">
        <v>0.8441</v>
      </c>
      <c r="G33" s="15">
        <v>-0.2771</v>
      </c>
      <c r="H33" s="15">
        <v>-0.1067</v>
      </c>
      <c r="I33" s="15">
        <v>-0.2865</v>
      </c>
      <c r="J33" s="15">
        <v>0.4379</v>
      </c>
      <c r="K33" s="15">
        <v>0.6496</v>
      </c>
      <c r="L33" s="15">
        <v>0.1202</v>
      </c>
      <c r="M33" s="15">
        <v>-0.2937</v>
      </c>
      <c r="N33" s="15">
        <v>-0.1941</v>
      </c>
      <c r="O33" s="15">
        <v>0.1323</v>
      </c>
      <c r="P33" s="15">
        <v>0.4957</v>
      </c>
      <c r="Q33" s="14"/>
      <c r="R33" s="14">
        <f>SUM(E33:P33)/12</f>
        <v>0.1375</v>
      </c>
      <c r="S33" s="15"/>
      <c r="T33" s="15">
        <v>0.2517</v>
      </c>
      <c r="U33" s="15">
        <v>0.5104</v>
      </c>
      <c r="V33" s="15">
        <v>0.3338</v>
      </c>
      <c r="W33" s="15">
        <v>0.1664</v>
      </c>
      <c r="X33" s="15">
        <v>0.2805</v>
      </c>
      <c r="Y33" s="15">
        <v>0.2607</v>
      </c>
      <c r="Z33" s="15">
        <v>0.3127</v>
      </c>
      <c r="AA33" s="15">
        <v>0.2762</v>
      </c>
      <c r="AB33" s="15">
        <v>0.2815</v>
      </c>
      <c r="AC33" s="15">
        <v>0.1775</v>
      </c>
      <c r="AD33" s="15">
        <v>0.386</v>
      </c>
      <c r="AE33" s="15">
        <v>0.2947</v>
      </c>
      <c r="AF33" s="2"/>
      <c r="AG33" s="15">
        <v>0.4957</v>
      </c>
      <c r="AH33" s="15">
        <v>0.1093</v>
      </c>
      <c r="AI33" s="15">
        <v>0.0155</v>
      </c>
      <c r="AJ33" s="15">
        <v>0.1438</v>
      </c>
      <c r="AK33" s="15">
        <v>0.056</v>
      </c>
      <c r="AL33" s="15">
        <v>0.0733</v>
      </c>
      <c r="AM33" s="16">
        <f>((1+E33)*(1+AL33)^11)^(1/12)-1</f>
        <v>0.0777790833845222</v>
      </c>
    </row>
    <row r="34" ht="15.75" spans="1:39">
      <c r="A34" s="2" t="s">
        <v>74</v>
      </c>
      <c r="B34" s="2" t="s">
        <v>75</v>
      </c>
      <c r="C34" s="22">
        <v>38716</v>
      </c>
      <c r="D34" s="6">
        <v>41627</v>
      </c>
      <c r="E34" s="14">
        <v>0.5058</v>
      </c>
      <c r="F34" s="14">
        <v>0.1286</v>
      </c>
      <c r="G34" s="14">
        <v>-0.0419</v>
      </c>
      <c r="H34" s="14">
        <v>0.1991</v>
      </c>
      <c r="I34" s="14">
        <v>-0.1946</v>
      </c>
      <c r="J34" s="14">
        <v>0.1597</v>
      </c>
      <c r="K34" s="14">
        <v>-0.0296</v>
      </c>
      <c r="L34" s="14">
        <v>0.108</v>
      </c>
      <c r="M34" s="14">
        <v>-0.019</v>
      </c>
      <c r="N34" s="14">
        <v>0.0645</v>
      </c>
      <c r="O34" s="14">
        <v>0.1784</v>
      </c>
      <c r="P34" s="14">
        <v>0.0044</v>
      </c>
      <c r="Q34" s="14"/>
      <c r="R34" s="14">
        <f>SUM(E34:P34)/12</f>
        <v>0.0886166666666667</v>
      </c>
      <c r="S34" s="15"/>
      <c r="T34" s="15">
        <v>0.1735</v>
      </c>
      <c r="U34" s="15">
        <v>0.3938</v>
      </c>
      <c r="V34" s="15">
        <v>0.1848</v>
      </c>
      <c r="W34" s="15">
        <v>0.0909</v>
      </c>
      <c r="X34" s="15">
        <v>0.1928</v>
      </c>
      <c r="Y34" s="15">
        <v>0.1581</v>
      </c>
      <c r="Z34" s="15">
        <v>0.2046</v>
      </c>
      <c r="AA34" s="15">
        <v>0.1763</v>
      </c>
      <c r="AB34" s="15">
        <v>0.1959</v>
      </c>
      <c r="AC34" s="15">
        <v>0.1264</v>
      </c>
      <c r="AD34" s="15">
        <v>0.1892</v>
      </c>
      <c r="AE34" s="14">
        <v>0.116</v>
      </c>
      <c r="AF34" s="14"/>
      <c r="AG34" s="16">
        <v>0.00439467349130807</v>
      </c>
      <c r="AH34" s="16">
        <v>0.0800772502310003</v>
      </c>
      <c r="AI34" s="16">
        <v>0.0649063125491227</v>
      </c>
      <c r="AJ34" s="16">
        <v>0.0637432481614411</v>
      </c>
      <c r="AK34" s="16">
        <v>0.0451810873750569</v>
      </c>
      <c r="AL34" s="16">
        <v>0.0442177711270832</v>
      </c>
      <c r="AM34" s="16">
        <f>((1+E34)*(1+AL34)^11)^(1/12)-1</f>
        <v>0.0765621277491215</v>
      </c>
    </row>
    <row r="35" ht="15.75" spans="1:39">
      <c r="A35" s="25" t="s">
        <v>76</v>
      </c>
      <c r="B35" s="39" t="s">
        <v>77</v>
      </c>
      <c r="C35" s="26">
        <v>38352</v>
      </c>
      <c r="D35" s="6">
        <v>39594</v>
      </c>
      <c r="E35" s="14">
        <v>0.5168</v>
      </c>
      <c r="F35" s="14">
        <v>0.2686</v>
      </c>
      <c r="G35" s="14">
        <v>-0.0764</v>
      </c>
      <c r="H35" s="14">
        <v>0.1757</v>
      </c>
      <c r="I35" s="14">
        <v>-0.1924</v>
      </c>
      <c r="J35" s="14">
        <v>0.1573</v>
      </c>
      <c r="K35" s="14">
        <v>0.0349</v>
      </c>
      <c r="L35" s="14">
        <v>0.1337</v>
      </c>
      <c r="M35" s="14">
        <v>-0.0545</v>
      </c>
      <c r="N35" s="14">
        <v>0.0089</v>
      </c>
      <c r="O35" s="14">
        <v>0.1231</v>
      </c>
      <c r="P35" s="14">
        <v>-0.0139</v>
      </c>
      <c r="Q35" s="14"/>
      <c r="R35" s="14">
        <f>SUM(E35:P35)/12</f>
        <v>0.09015</v>
      </c>
      <c r="S35" s="15"/>
      <c r="T35" s="15">
        <v>0.1785</v>
      </c>
      <c r="U35" s="15">
        <v>0.4165</v>
      </c>
      <c r="V35" s="15">
        <v>0.2142</v>
      </c>
      <c r="W35" s="15">
        <v>0.0918</v>
      </c>
      <c r="X35" s="15">
        <v>0.1891</v>
      </c>
      <c r="Y35" s="15">
        <v>0.1754</v>
      </c>
      <c r="Z35" s="15">
        <v>0.2086</v>
      </c>
      <c r="AA35" s="15">
        <v>0.1609</v>
      </c>
      <c r="AB35" s="15">
        <v>0.2008</v>
      </c>
      <c r="AC35" s="15">
        <v>0.1091</v>
      </c>
      <c r="AD35" s="15">
        <v>0.1891</v>
      </c>
      <c r="AE35" s="15">
        <v>0.1203</v>
      </c>
      <c r="AF35" s="15"/>
      <c r="AG35" s="16">
        <v>-0.0138887395861328</v>
      </c>
      <c r="AH35" s="16">
        <v>0.0376835392154871</v>
      </c>
      <c r="AI35" s="16">
        <v>0.0367334573719074</v>
      </c>
      <c r="AJ35" s="16">
        <v>0.0528964959071803</v>
      </c>
      <c r="AK35" s="16">
        <v>0.0349348266907883</v>
      </c>
      <c r="AL35" s="16">
        <v>0.0434105758829555</v>
      </c>
      <c r="AM35" s="16">
        <f>((1+E35)*(1+AL35)^11)^(1/12)-1</f>
        <v>0.0764519731628137</v>
      </c>
    </row>
    <row r="36" ht="15.75" spans="1:39">
      <c r="A36" s="25" t="s">
        <v>78</v>
      </c>
      <c r="B36" s="37" t="s">
        <v>79</v>
      </c>
      <c r="C36" s="26">
        <v>38352</v>
      </c>
      <c r="D36" s="27">
        <v>39997</v>
      </c>
      <c r="E36" s="14">
        <v>0.3585</v>
      </c>
      <c r="F36" s="14">
        <v>0.1102</v>
      </c>
      <c r="G36" s="14">
        <v>-0.0687</v>
      </c>
      <c r="H36" s="14">
        <v>0.2251</v>
      </c>
      <c r="I36" s="14">
        <v>-0.3439</v>
      </c>
      <c r="J36" s="14">
        <v>0.2313</v>
      </c>
      <c r="K36" s="14">
        <v>0.2955</v>
      </c>
      <c r="L36" s="14">
        <v>0.1928</v>
      </c>
      <c r="M36" s="14">
        <v>-0.2305</v>
      </c>
      <c r="N36" s="14">
        <v>-0.138</v>
      </c>
      <c r="O36" s="14">
        <v>0.0221</v>
      </c>
      <c r="P36" s="14">
        <v>0.6497</v>
      </c>
      <c r="Q36" s="14"/>
      <c r="R36" s="14">
        <f>SUM(E36:P36)/12</f>
        <v>0.108675</v>
      </c>
      <c r="S36" s="15"/>
      <c r="T36" s="15">
        <v>0.193</v>
      </c>
      <c r="U36" s="15">
        <v>0.4396</v>
      </c>
      <c r="V36" s="15">
        <v>0.2871</v>
      </c>
      <c r="W36" s="15">
        <v>0.181</v>
      </c>
      <c r="X36" s="15">
        <v>0.2416</v>
      </c>
      <c r="Y36" s="15">
        <v>0.2201</v>
      </c>
      <c r="Z36" s="15">
        <v>0.2584</v>
      </c>
      <c r="AA36" s="15">
        <v>0.2765</v>
      </c>
      <c r="AB36" s="15">
        <v>0.248</v>
      </c>
      <c r="AC36" s="15">
        <v>0.1524</v>
      </c>
      <c r="AD36" s="15">
        <v>0.2491</v>
      </c>
      <c r="AE36" s="15">
        <v>0.223</v>
      </c>
      <c r="AF36" s="15"/>
      <c r="AG36" s="16">
        <v>0.649688591546693</v>
      </c>
      <c r="AH36" s="16">
        <v>0.132752865491449</v>
      </c>
      <c r="AI36" s="16">
        <v>0.0593594856949979</v>
      </c>
      <c r="AJ36" s="16">
        <v>0.113928655758399</v>
      </c>
      <c r="AK36" s="16">
        <v>0.0614545088486411</v>
      </c>
      <c r="AL36" s="16">
        <v>0.0531988372640457</v>
      </c>
      <c r="AM36" s="16">
        <f>((1+E36)*(1+AL36)^11)^(1/12)-1</f>
        <v>0.0757783757946893</v>
      </c>
    </row>
    <row r="37" ht="15.75" spans="1:39">
      <c r="A37" s="19" t="s">
        <v>80</v>
      </c>
      <c r="B37" s="38" t="s">
        <v>81</v>
      </c>
      <c r="C37" s="21">
        <v>38352</v>
      </c>
      <c r="D37" s="6">
        <v>40777</v>
      </c>
      <c r="E37" s="15">
        <v>0.3019</v>
      </c>
      <c r="F37" s="15">
        <v>0.1906</v>
      </c>
      <c r="G37" s="15">
        <v>-0.0331</v>
      </c>
      <c r="H37" s="15">
        <v>0.1018</v>
      </c>
      <c r="I37" s="15">
        <v>-0.3606</v>
      </c>
      <c r="J37" s="15">
        <v>0.2501</v>
      </c>
      <c r="K37" s="15">
        <v>0.1854</v>
      </c>
      <c r="L37" s="15">
        <v>0.3358</v>
      </c>
      <c r="M37" s="15">
        <v>-0.1358</v>
      </c>
      <c r="N37" s="15">
        <v>-0.0774</v>
      </c>
      <c r="O37" s="15">
        <v>0.009</v>
      </c>
      <c r="P37" s="15">
        <v>0.4255</v>
      </c>
      <c r="Q37" s="18"/>
      <c r="R37" s="14">
        <f>SUM(E37:P37)/12</f>
        <v>0.0994333333333333</v>
      </c>
      <c r="S37" s="15"/>
      <c r="T37" s="15">
        <v>0.2056</v>
      </c>
      <c r="U37" s="15">
        <v>0.4387</v>
      </c>
      <c r="V37" s="15">
        <v>0.3007</v>
      </c>
      <c r="W37" s="15">
        <v>0.1877</v>
      </c>
      <c r="X37" s="15">
        <v>0.2308</v>
      </c>
      <c r="Y37" s="15">
        <v>0.2302</v>
      </c>
      <c r="Z37" s="15">
        <v>0.2632</v>
      </c>
      <c r="AA37" s="15">
        <v>0.2757</v>
      </c>
      <c r="AB37" s="15">
        <v>0.241</v>
      </c>
      <c r="AC37" s="15">
        <v>0.1358</v>
      </c>
      <c r="AD37" s="15">
        <v>0.2433</v>
      </c>
      <c r="AE37" s="15">
        <v>0.1915</v>
      </c>
      <c r="AF37" s="2"/>
      <c r="AG37" s="15">
        <v>0.4255</v>
      </c>
      <c r="AH37" s="15">
        <v>0.0989</v>
      </c>
      <c r="AI37" s="15">
        <v>0.089</v>
      </c>
      <c r="AJ37" s="15">
        <v>0.1243</v>
      </c>
      <c r="AK37" s="15">
        <v>0.0535</v>
      </c>
      <c r="AL37" s="15">
        <v>0.0571</v>
      </c>
      <c r="AM37" s="16">
        <f>((1+E37)*(1+AL37)^11)^(1/12)-1</f>
        <v>0.0756092680089633</v>
      </c>
    </row>
    <row r="38" ht="15.75" spans="1:39">
      <c r="A38" s="2" t="s">
        <v>82</v>
      </c>
      <c r="B38" s="39" t="s">
        <v>83</v>
      </c>
      <c r="C38" s="22">
        <v>39994</v>
      </c>
      <c r="D38" s="6">
        <v>41110</v>
      </c>
      <c r="E38" s="15">
        <v>0.599</v>
      </c>
      <c r="F38" s="15">
        <v>0.058</v>
      </c>
      <c r="G38" s="15">
        <v>-0.0593</v>
      </c>
      <c r="H38" s="15">
        <v>0.2304</v>
      </c>
      <c r="I38" s="15">
        <v>-0.1708</v>
      </c>
      <c r="J38" s="15">
        <v>0.1723</v>
      </c>
      <c r="K38" s="15">
        <v>-0.0268</v>
      </c>
      <c r="L38" s="15">
        <v>0.1078</v>
      </c>
      <c r="M38" s="15">
        <v>-0.0082</v>
      </c>
      <c r="N38" s="15">
        <v>0.0317</v>
      </c>
      <c r="O38" s="15">
        <v>0.1384</v>
      </c>
      <c r="P38" s="15">
        <v>-0.0045</v>
      </c>
      <c r="Q38" s="14"/>
      <c r="R38" s="14">
        <f>SUM(E38:P38)/12</f>
        <v>0.089</v>
      </c>
      <c r="S38" s="15"/>
      <c r="T38" s="15">
        <v>0.1828</v>
      </c>
      <c r="U38" s="15">
        <v>0.4152</v>
      </c>
      <c r="V38" s="15">
        <v>0.1885</v>
      </c>
      <c r="W38" s="15">
        <v>0.093</v>
      </c>
      <c r="X38" s="15">
        <v>0.1875</v>
      </c>
      <c r="Y38" s="15">
        <v>0.1761</v>
      </c>
      <c r="Z38" s="15">
        <v>0.206</v>
      </c>
      <c r="AA38" s="15">
        <v>0.1811</v>
      </c>
      <c r="AB38" s="15">
        <v>0.2015</v>
      </c>
      <c r="AC38" s="15">
        <v>0.1251</v>
      </c>
      <c r="AD38" s="15">
        <v>0.1973</v>
      </c>
      <c r="AE38" s="15">
        <v>0.123</v>
      </c>
      <c r="AF38" s="15"/>
      <c r="AG38" s="15">
        <v>-0.0045</v>
      </c>
      <c r="AH38" s="15">
        <v>0.0535</v>
      </c>
      <c r="AI38" s="15">
        <v>0.0514</v>
      </c>
      <c r="AJ38" s="15">
        <v>0.0561</v>
      </c>
      <c r="AK38" s="15">
        <v>0.0457</v>
      </c>
      <c r="AL38" s="15">
        <v>0.0368</v>
      </c>
      <c r="AM38" s="16">
        <f>((1+E38)*(1+AL38)^11)^(1/12)-1</f>
        <v>0.074915795651872</v>
      </c>
    </row>
    <row r="39" ht="15.75" spans="1:39">
      <c r="A39" s="25" t="s">
        <v>84</v>
      </c>
      <c r="B39" s="39" t="s">
        <v>85</v>
      </c>
      <c r="C39" s="26">
        <v>38352</v>
      </c>
      <c r="D39" s="6">
        <v>41110</v>
      </c>
      <c r="E39" s="15">
        <v>0.6051</v>
      </c>
      <c r="F39" s="15">
        <v>0.0683</v>
      </c>
      <c r="G39" s="15">
        <v>-0.0559</v>
      </c>
      <c r="H39" s="15">
        <v>0.3016</v>
      </c>
      <c r="I39" s="15">
        <v>-0.1786</v>
      </c>
      <c r="J39" s="15">
        <v>0.2128</v>
      </c>
      <c r="K39" s="15">
        <v>0.0317</v>
      </c>
      <c r="L39" s="15">
        <v>-0.0421</v>
      </c>
      <c r="M39" s="15">
        <v>-0.0706</v>
      </c>
      <c r="N39" s="15">
        <v>-0.0243</v>
      </c>
      <c r="O39" s="15">
        <v>0.2295</v>
      </c>
      <c r="P39" s="15">
        <v>0.0157</v>
      </c>
      <c r="Q39" s="14"/>
      <c r="R39" s="14">
        <f>SUM(E39:P39)/12</f>
        <v>0.0911</v>
      </c>
      <c r="S39" s="15"/>
      <c r="T39" s="15">
        <v>0.1887</v>
      </c>
      <c r="U39" s="15">
        <v>0.3947</v>
      </c>
      <c r="V39" s="15">
        <v>0.1828</v>
      </c>
      <c r="W39" s="15">
        <v>0.1003</v>
      </c>
      <c r="X39" s="15">
        <v>0.1885</v>
      </c>
      <c r="Y39" s="15">
        <v>0.1687</v>
      </c>
      <c r="Z39" s="15">
        <v>0.2058</v>
      </c>
      <c r="AA39" s="15">
        <v>0.1536</v>
      </c>
      <c r="AB39" s="15">
        <v>0.1887</v>
      </c>
      <c r="AC39" s="15">
        <v>0.1351</v>
      </c>
      <c r="AD39" s="15">
        <v>0.1779</v>
      </c>
      <c r="AE39" s="15">
        <v>0.1202</v>
      </c>
      <c r="AF39" s="15"/>
      <c r="AG39" s="15">
        <v>0.0157</v>
      </c>
      <c r="AH39" s="15">
        <v>0.0681</v>
      </c>
      <c r="AI39" s="15">
        <v>0.0164</v>
      </c>
      <c r="AJ39" s="15">
        <v>0.0446</v>
      </c>
      <c r="AK39" s="15">
        <v>0.0422</v>
      </c>
      <c r="AL39" s="15">
        <v>0.0352</v>
      </c>
      <c r="AM39" s="16">
        <f>((1+E39)*(1+AL39)^11)^(1/12)-1</f>
        <v>0.0737357568499837</v>
      </c>
    </row>
    <row r="40" ht="15.75" spans="1:39">
      <c r="A40" s="2" t="s">
        <v>86</v>
      </c>
      <c r="B40" s="2">
        <v>932308</v>
      </c>
      <c r="C40" s="6">
        <v>41639</v>
      </c>
      <c r="D40" s="6">
        <v>45471</v>
      </c>
      <c r="E40" s="14">
        <v>0.4993</v>
      </c>
      <c r="F40" s="14">
        <v>0.259</v>
      </c>
      <c r="G40" s="14">
        <v>-0.1079</v>
      </c>
      <c r="H40" s="14">
        <v>0.153</v>
      </c>
      <c r="I40" s="14">
        <v>-0.2165</v>
      </c>
      <c r="J40" s="14">
        <v>0.2301</v>
      </c>
      <c r="K40" s="14">
        <v>0.0746</v>
      </c>
      <c r="L40" s="14">
        <v>0.0982</v>
      </c>
      <c r="M40" s="14">
        <v>-0.1031</v>
      </c>
      <c r="N40" s="14">
        <v>-0.0024</v>
      </c>
      <c r="O40" s="14">
        <v>0.1368</v>
      </c>
      <c r="P40" s="14">
        <v>0.0414</v>
      </c>
      <c r="Q40" s="14"/>
      <c r="R40" s="14">
        <f>SUM(E40:P40)/12</f>
        <v>0.0885416666666667</v>
      </c>
      <c r="S40" s="15"/>
      <c r="T40" s="15">
        <v>0.1782</v>
      </c>
      <c r="U40" s="15">
        <v>0.4071</v>
      </c>
      <c r="V40" s="15">
        <v>0.2302</v>
      </c>
      <c r="W40" s="15">
        <v>0.0954</v>
      </c>
      <c r="X40" s="15">
        <v>0.196</v>
      </c>
      <c r="Y40" s="15">
        <v>0.182</v>
      </c>
      <c r="Z40" s="15">
        <v>0.2059</v>
      </c>
      <c r="AA40" s="15">
        <v>0.1497</v>
      </c>
      <c r="AB40" s="15">
        <v>0.1971</v>
      </c>
      <c r="AC40" s="15">
        <v>0.1093</v>
      </c>
      <c r="AD40" s="15">
        <v>0.1927</v>
      </c>
      <c r="AE40" s="15">
        <v>0.1199</v>
      </c>
      <c r="AF40" s="15"/>
      <c r="AG40" s="16">
        <v>0.0413967796074453</v>
      </c>
      <c r="AH40" s="16">
        <v>0.0570289463506672</v>
      </c>
      <c r="AI40" s="16">
        <v>0.0307233460016823</v>
      </c>
      <c r="AJ40" s="16">
        <v>0.0634080496082638</v>
      </c>
      <c r="AK40" s="16">
        <v>0.0372011866686681</v>
      </c>
      <c r="AL40" s="16">
        <v>0.041271363541453</v>
      </c>
      <c r="AM40" s="16">
        <f>((1+E40)*(1+AL40)^11)^(1/12)-1</f>
        <v>0.0733902419293566</v>
      </c>
    </row>
    <row r="41" ht="15.75" spans="1:39">
      <c r="A41" s="19" t="s">
        <v>87</v>
      </c>
      <c r="B41" s="20">
        <v>399967</v>
      </c>
      <c r="C41" s="21">
        <v>38352</v>
      </c>
      <c r="D41" s="6">
        <v>41634</v>
      </c>
      <c r="E41" s="15">
        <v>0.6098</v>
      </c>
      <c r="F41" s="15">
        <v>0.4481</v>
      </c>
      <c r="G41" s="15">
        <v>-0.2381</v>
      </c>
      <c r="H41" s="15">
        <v>-0.1837</v>
      </c>
      <c r="I41" s="15">
        <v>-0.2725</v>
      </c>
      <c r="J41" s="15">
        <v>0.2202</v>
      </c>
      <c r="K41" s="15">
        <v>0.6791</v>
      </c>
      <c r="L41" s="15">
        <v>0.1428</v>
      </c>
      <c r="M41" s="15">
        <v>-0.2574</v>
      </c>
      <c r="N41" s="15">
        <v>-0.1102</v>
      </c>
      <c r="O41" s="15">
        <v>0.082</v>
      </c>
      <c r="P41" s="15">
        <v>0.3155</v>
      </c>
      <c r="Q41" s="18"/>
      <c r="R41" s="14">
        <f>SUM(E41:P41)/12</f>
        <v>0.119633333333333</v>
      </c>
      <c r="S41" s="15"/>
      <c r="T41" s="15">
        <v>0.254</v>
      </c>
      <c r="U41" s="15">
        <v>0.5335</v>
      </c>
      <c r="V41" s="15">
        <v>0.3091</v>
      </c>
      <c r="W41" s="15">
        <v>0.2006</v>
      </c>
      <c r="X41" s="15">
        <v>0.2872</v>
      </c>
      <c r="Y41" s="15">
        <v>0.2604</v>
      </c>
      <c r="Z41" s="15">
        <v>0.3548</v>
      </c>
      <c r="AA41" s="15">
        <v>0.3268</v>
      </c>
      <c r="AB41" s="15">
        <v>0.2921</v>
      </c>
      <c r="AC41" s="15">
        <v>0.1822</v>
      </c>
      <c r="AD41" s="15">
        <v>0.3372</v>
      </c>
      <c r="AE41" s="15">
        <v>0.2462</v>
      </c>
      <c r="AG41" s="16">
        <v>0.315502418130486</v>
      </c>
      <c r="AH41" s="16">
        <v>0.0819644989553225</v>
      </c>
      <c r="AI41" s="16">
        <v>0.0145468051797555</v>
      </c>
      <c r="AJ41" s="16">
        <v>0.119388599076901</v>
      </c>
      <c r="AK41" s="16">
        <v>0.0302734310684969</v>
      </c>
      <c r="AL41" s="16">
        <v>0.0339052693653765</v>
      </c>
      <c r="AM41" s="16">
        <f>((1+E41)*(1+AL41)^11)^(1/12)-1</f>
        <v>0.0727660312132417</v>
      </c>
    </row>
    <row r="42" ht="15.75" spans="1:39">
      <c r="A42" s="17" t="s">
        <v>88</v>
      </c>
      <c r="B42" s="17">
        <v>930607</v>
      </c>
      <c r="C42" s="21">
        <v>38352</v>
      </c>
      <c r="D42" s="6">
        <v>42094</v>
      </c>
      <c r="E42" s="15">
        <v>0.3359</v>
      </c>
      <c r="F42" s="15">
        <v>0.3959</v>
      </c>
      <c r="G42" s="15">
        <v>-0.1188</v>
      </c>
      <c r="H42" s="15">
        <v>0.0017</v>
      </c>
      <c r="I42" s="15">
        <v>-0.3458</v>
      </c>
      <c r="J42" s="15">
        <v>0.1635</v>
      </c>
      <c r="K42" s="15">
        <v>0.5243</v>
      </c>
      <c r="L42" s="15">
        <v>0.1321</v>
      </c>
      <c r="M42" s="15">
        <v>-0.2183</v>
      </c>
      <c r="N42" s="15">
        <v>0.0136</v>
      </c>
      <c r="O42" s="15">
        <v>0.143</v>
      </c>
      <c r="P42" s="15">
        <v>0.1731</v>
      </c>
      <c r="Q42" s="18"/>
      <c r="R42" s="14">
        <f>SUM(E42:P42)/12</f>
        <v>0.100016666666667</v>
      </c>
      <c r="S42" s="15"/>
      <c r="T42" s="15">
        <v>0.2064</v>
      </c>
      <c r="U42" s="15">
        <v>0.4346</v>
      </c>
      <c r="V42" s="15">
        <v>0.2595</v>
      </c>
      <c r="W42" s="15">
        <v>0.1289</v>
      </c>
      <c r="X42" s="15">
        <v>0.2135</v>
      </c>
      <c r="Y42" s="15">
        <v>0.2354</v>
      </c>
      <c r="Z42" s="15">
        <v>0.3152</v>
      </c>
      <c r="AA42" s="15">
        <v>0.2607</v>
      </c>
      <c r="AB42" s="15">
        <v>0.3212</v>
      </c>
      <c r="AC42" s="15">
        <v>0.2108</v>
      </c>
      <c r="AD42" s="15">
        <v>0.2696</v>
      </c>
      <c r="AE42" s="15">
        <v>0.2234</v>
      </c>
      <c r="AF42" s="2"/>
      <c r="AG42" s="16">
        <v>0.17312438535098</v>
      </c>
      <c r="AH42" s="16">
        <v>0.10767977245035</v>
      </c>
      <c r="AI42" s="16">
        <v>0.0376148686831699</v>
      </c>
      <c r="AJ42" s="16">
        <v>0.114302232765049</v>
      </c>
      <c r="AK42" s="16">
        <v>0.0379186007361549</v>
      </c>
      <c r="AL42" s="16">
        <v>0.0505044838926962</v>
      </c>
      <c r="AM42" s="16">
        <f>((1+E42)*(1+AL42)^11)^(1/12)-1</f>
        <v>0.0717559759205111</v>
      </c>
    </row>
    <row r="43" ht="15.75" spans="1:39">
      <c r="A43" s="19" t="s">
        <v>89</v>
      </c>
      <c r="B43" s="19" t="s">
        <v>90</v>
      </c>
      <c r="C43" s="21">
        <v>40543</v>
      </c>
      <c r="D43" s="6">
        <v>42045</v>
      </c>
      <c r="E43" s="15">
        <v>0.3299</v>
      </c>
      <c r="F43" s="15">
        <v>0.6853</v>
      </c>
      <c r="G43" s="15">
        <v>-0.2276</v>
      </c>
      <c r="H43" s="15">
        <v>-0.0575</v>
      </c>
      <c r="I43" s="15">
        <v>-0.2931</v>
      </c>
      <c r="J43" s="15">
        <v>0.2485</v>
      </c>
      <c r="K43" s="15">
        <v>0.3998</v>
      </c>
      <c r="L43" s="15">
        <v>0.1465</v>
      </c>
      <c r="M43" s="15">
        <v>-0.3176</v>
      </c>
      <c r="N43" s="15">
        <v>0.0601</v>
      </c>
      <c r="O43" s="15">
        <v>0.0434</v>
      </c>
      <c r="P43" s="15">
        <v>0.3078</v>
      </c>
      <c r="Q43" s="18"/>
      <c r="R43" s="14">
        <f>SUM(E43:P43)/12</f>
        <v>0.110458333333333</v>
      </c>
      <c r="S43" s="15"/>
      <c r="T43" s="15">
        <v>0.2595</v>
      </c>
      <c r="U43" s="15">
        <v>0.524</v>
      </c>
      <c r="V43" s="15">
        <v>0.3445</v>
      </c>
      <c r="W43" s="15">
        <v>0.1751</v>
      </c>
      <c r="X43" s="15">
        <v>0.2645</v>
      </c>
      <c r="Y43" s="15">
        <v>0.2605</v>
      </c>
      <c r="Z43" s="15">
        <v>0.3019</v>
      </c>
      <c r="AA43" s="15">
        <v>0.2474</v>
      </c>
      <c r="AB43" s="15">
        <v>0.2823</v>
      </c>
      <c r="AC43" s="15">
        <v>0.2053</v>
      </c>
      <c r="AD43" s="15">
        <v>0.3788</v>
      </c>
      <c r="AE43" s="15">
        <v>0.3149</v>
      </c>
      <c r="AF43" s="2"/>
      <c r="AG43" s="16">
        <v>0.30784836500963</v>
      </c>
      <c r="AH43" s="16">
        <v>0.130953301591754</v>
      </c>
      <c r="AI43" s="16">
        <v>0.0250512908325602</v>
      </c>
      <c r="AJ43" s="16">
        <v>0.102334327696592</v>
      </c>
      <c r="AK43" s="16">
        <v>0.031127431352026</v>
      </c>
      <c r="AL43" s="16">
        <v>0.0502664176948528</v>
      </c>
      <c r="AM43" s="16">
        <f>((1+E43)*(1+AL43)^11)^(1/12)-1</f>
        <v>0.0711314508434213</v>
      </c>
    </row>
    <row r="44" ht="15.75" spans="1:39">
      <c r="A44" s="2" t="s">
        <v>91</v>
      </c>
      <c r="B44" s="39" t="s">
        <v>92</v>
      </c>
      <c r="C44" s="6">
        <v>38352</v>
      </c>
      <c r="D44" s="6">
        <v>45558</v>
      </c>
      <c r="E44" s="14">
        <v>0.4431</v>
      </c>
      <c r="F44" s="30">
        <v>0.1579</v>
      </c>
      <c r="G44" s="29">
        <v>-0.132</v>
      </c>
      <c r="H44" s="29">
        <v>0.20442</v>
      </c>
      <c r="I44" s="29">
        <v>-0.27001</v>
      </c>
      <c r="J44" s="29">
        <v>0.35999</v>
      </c>
      <c r="K44" s="29">
        <v>0.31285</v>
      </c>
      <c r="L44" s="29">
        <v>0.00614</v>
      </c>
      <c r="M44" s="29">
        <v>-0.22558</v>
      </c>
      <c r="N44" s="29">
        <v>-0.11417</v>
      </c>
      <c r="O44" s="29">
        <v>0.12981</v>
      </c>
      <c r="P44" s="29">
        <v>0.22437</v>
      </c>
      <c r="Q44" s="29"/>
      <c r="R44" s="14">
        <f>SUM(E44:P44)/12</f>
        <v>0.0914016666666667</v>
      </c>
      <c r="S44" s="15"/>
      <c r="T44" s="15">
        <v>0.1755</v>
      </c>
      <c r="U44" s="15">
        <v>0.3863</v>
      </c>
      <c r="V44" s="15">
        <v>0.2179</v>
      </c>
      <c r="W44" s="15">
        <v>0.0998</v>
      </c>
      <c r="X44" s="15">
        <v>0.2116</v>
      </c>
      <c r="Y44" s="15">
        <v>0.1965</v>
      </c>
      <c r="Z44" s="15">
        <v>0.2298</v>
      </c>
      <c r="AA44" s="15">
        <v>0.1811</v>
      </c>
      <c r="AB44" s="15">
        <v>0.2051</v>
      </c>
      <c r="AC44" s="15">
        <v>0.1326</v>
      </c>
      <c r="AD44" s="15">
        <v>0.2204</v>
      </c>
      <c r="AE44" s="15">
        <v>0.1628</v>
      </c>
      <c r="AF44" s="15"/>
      <c r="AG44" s="16">
        <v>0.224320559608066</v>
      </c>
      <c r="AH44" s="16">
        <v>0.0700806946812189</v>
      </c>
      <c r="AI44" s="16">
        <v>-0.00922043564997632</v>
      </c>
      <c r="AJ44" s="16">
        <v>0.0791727220012111</v>
      </c>
      <c r="AK44" s="16">
        <v>0.0459858726521833</v>
      </c>
      <c r="AL44" s="16">
        <v>0.0379437921091264</v>
      </c>
      <c r="AM44" s="16">
        <f>((1+E44)*(1+AL44)^11)^(1/12)-1</f>
        <v>0.0668435069097106</v>
      </c>
    </row>
    <row r="45" ht="15.75" spans="1:39">
      <c r="A45" s="19" t="s">
        <v>93</v>
      </c>
      <c r="B45" s="20">
        <v>931151</v>
      </c>
      <c r="C45" s="21">
        <v>41274</v>
      </c>
      <c r="D45" s="6">
        <v>43577</v>
      </c>
      <c r="E45" s="15">
        <v>0.2505</v>
      </c>
      <c r="F45" s="15">
        <v>0.4539</v>
      </c>
      <c r="G45" s="15">
        <v>-0.167</v>
      </c>
      <c r="H45" s="15">
        <v>0.0796</v>
      </c>
      <c r="I45" s="15">
        <v>-0.3696</v>
      </c>
      <c r="J45" s="15">
        <v>0.2408</v>
      </c>
      <c r="K45" s="15">
        <v>1.1094</v>
      </c>
      <c r="L45" s="15">
        <v>0.4926</v>
      </c>
      <c r="M45" s="15">
        <v>-0.2015</v>
      </c>
      <c r="N45" s="15">
        <v>-0.3638</v>
      </c>
      <c r="O45" s="15">
        <v>-0.1593</v>
      </c>
      <c r="P45" s="15">
        <v>0.262</v>
      </c>
      <c r="Q45" s="18"/>
      <c r="R45" s="14">
        <f>SUM(E45:P45)/12</f>
        <v>0.135633333333333</v>
      </c>
      <c r="S45" s="15"/>
      <c r="T45" s="15">
        <v>0.2224</v>
      </c>
      <c r="U45" s="15">
        <v>0.4889</v>
      </c>
      <c r="V45" s="15">
        <v>0.2967</v>
      </c>
      <c r="W45" s="15">
        <v>0.1847</v>
      </c>
      <c r="X45" s="15">
        <v>0.2578</v>
      </c>
      <c r="Y45" s="15">
        <v>0.2514</v>
      </c>
      <c r="Z45" s="15">
        <v>0.3672</v>
      </c>
      <c r="AA45" s="15">
        <v>0.375</v>
      </c>
      <c r="AB45" s="15">
        <v>0.3672</v>
      </c>
      <c r="AC45" s="15">
        <v>0.2556</v>
      </c>
      <c r="AD45" s="15">
        <v>0.3765</v>
      </c>
      <c r="AE45" s="15">
        <v>0.3018</v>
      </c>
      <c r="AF45" s="2"/>
      <c r="AG45" s="16">
        <v>0.261957539254994</v>
      </c>
      <c r="AH45" s="16">
        <v>-0.122819513473144</v>
      </c>
      <c r="AI45" s="16">
        <v>-0.0425874870017393</v>
      </c>
      <c r="AJ45" s="16">
        <v>0.112222063704123</v>
      </c>
      <c r="AK45" s="16">
        <v>0.0407754065012629</v>
      </c>
      <c r="AL45" s="16">
        <v>0.051387220246065</v>
      </c>
      <c r="AM45" s="16">
        <f>((1+E45)*(1+AL45)^11)^(1/12)-1</f>
        <v>0.0666929972533425</v>
      </c>
    </row>
    <row r="46" ht="15.75" spans="1:39">
      <c r="A46" s="25" t="s">
        <v>94</v>
      </c>
      <c r="B46" s="39" t="s">
        <v>95</v>
      </c>
      <c r="C46" s="26">
        <v>38352</v>
      </c>
      <c r="D46" s="6">
        <v>41110</v>
      </c>
      <c r="E46" s="15">
        <v>0.3727</v>
      </c>
      <c r="F46" s="15">
        <v>0.5144</v>
      </c>
      <c r="G46" s="15">
        <v>-0.1226</v>
      </c>
      <c r="H46" s="15">
        <v>0.0031</v>
      </c>
      <c r="I46" s="15">
        <v>-0.2415</v>
      </c>
      <c r="J46" s="15">
        <v>0.1272</v>
      </c>
      <c r="K46" s="15">
        <v>0.0224</v>
      </c>
      <c r="L46" s="15">
        <v>0.17</v>
      </c>
      <c r="M46" s="15">
        <v>-0.07</v>
      </c>
      <c r="N46" s="15">
        <v>0.0495</v>
      </c>
      <c r="O46" s="15">
        <v>0.1058</v>
      </c>
      <c r="P46" s="15">
        <v>0.0427</v>
      </c>
      <c r="Q46" s="14"/>
      <c r="R46" s="14">
        <f>SUM(E46:P46)/12</f>
        <v>0.0811416666666667</v>
      </c>
      <c r="S46" s="23"/>
      <c r="T46" s="23">
        <v>0.2026</v>
      </c>
      <c r="U46" s="23">
        <v>0.5149</v>
      </c>
      <c r="V46" s="23">
        <v>0.2921</v>
      </c>
      <c r="W46" s="23">
        <v>0.1511</v>
      </c>
      <c r="X46" s="23">
        <v>0.2248</v>
      </c>
      <c r="Y46" s="23">
        <v>0.2096</v>
      </c>
      <c r="Z46" s="23">
        <v>0.2271</v>
      </c>
      <c r="AA46" s="23">
        <v>0.1907</v>
      </c>
      <c r="AB46" s="23">
        <v>0.2257</v>
      </c>
      <c r="AC46" s="23">
        <v>0.1192</v>
      </c>
      <c r="AD46" s="23">
        <v>0.212</v>
      </c>
      <c r="AE46" s="23">
        <v>0.1406</v>
      </c>
      <c r="AF46" s="15"/>
      <c r="AG46" s="15">
        <v>0.0427</v>
      </c>
      <c r="AH46" s="15">
        <v>0.0656</v>
      </c>
      <c r="AI46" s="15">
        <v>0.0566</v>
      </c>
      <c r="AJ46" s="15">
        <v>0.0614</v>
      </c>
      <c r="AK46" s="15">
        <v>0.0161</v>
      </c>
      <c r="AL46" s="15">
        <v>0.0397</v>
      </c>
      <c r="AM46" s="16">
        <f>((1+E46)*(1+AL46)^11)^(1/12)-1</f>
        <v>0.0640540190784276</v>
      </c>
    </row>
    <row r="47" ht="15.75" spans="1:39">
      <c r="A47" s="2" t="s">
        <v>96</v>
      </c>
      <c r="B47" s="39" t="s">
        <v>97</v>
      </c>
      <c r="C47" s="6">
        <v>38716</v>
      </c>
      <c r="D47" s="6">
        <v>38866</v>
      </c>
      <c r="E47" s="14">
        <v>0.5964</v>
      </c>
      <c r="F47" s="14">
        <v>-0.01517</v>
      </c>
      <c r="G47" s="29">
        <v>-0.07495</v>
      </c>
      <c r="H47" s="29">
        <v>0.30206</v>
      </c>
      <c r="I47" s="29">
        <v>-0.2194</v>
      </c>
      <c r="J47" s="29">
        <v>0.35535</v>
      </c>
      <c r="K47" s="29">
        <v>0.24091</v>
      </c>
      <c r="L47" s="29">
        <v>-0.10549</v>
      </c>
      <c r="M47" s="29">
        <v>-0.2207</v>
      </c>
      <c r="N47" s="29">
        <v>-0.12638</v>
      </c>
      <c r="O47" s="29">
        <v>0.14156</v>
      </c>
      <c r="P47" s="29">
        <v>0.2044</v>
      </c>
      <c r="Q47" s="29"/>
      <c r="R47" s="14">
        <f>SUM(E47:P47)/12</f>
        <v>0.0898825</v>
      </c>
      <c r="S47" s="15"/>
      <c r="T47" s="15">
        <v>0.2075</v>
      </c>
      <c r="U47" s="15">
        <v>0.3882</v>
      </c>
      <c r="V47" s="15">
        <v>0.188</v>
      </c>
      <c r="W47" s="15">
        <v>0.107</v>
      </c>
      <c r="X47" s="15">
        <v>0.2148</v>
      </c>
      <c r="Y47" s="15">
        <v>0.1939</v>
      </c>
      <c r="Z47" s="15">
        <v>0.2187</v>
      </c>
      <c r="AA47" s="15">
        <v>0.1939</v>
      </c>
      <c r="AB47" s="15">
        <v>0.2062</v>
      </c>
      <c r="AC47" s="15">
        <v>0.1396</v>
      </c>
      <c r="AD47" s="15">
        <v>0.2106</v>
      </c>
      <c r="AE47" s="15">
        <v>0.1542</v>
      </c>
      <c r="AF47" s="15"/>
      <c r="AG47" s="16">
        <v>0.204431176626926</v>
      </c>
      <c r="AH47" s="16">
        <v>0.063002236178495</v>
      </c>
      <c r="AI47" s="16">
        <v>-0.0348877723397342</v>
      </c>
      <c r="AJ47" s="16">
        <v>0.0501233372732357</v>
      </c>
      <c r="AK47" s="16">
        <v>0.0406503260253381</v>
      </c>
      <c r="AL47" s="16">
        <v>0.0244225833751264</v>
      </c>
      <c r="AM47" s="16">
        <f>((1+E47)*(1+AL47)^11)^(1/12)-1</f>
        <v>0.0630026777092911</v>
      </c>
    </row>
    <row r="48" ht="15.75" spans="1:39">
      <c r="A48" s="2" t="s">
        <v>98</v>
      </c>
      <c r="B48" s="39" t="s">
        <v>99</v>
      </c>
      <c r="C48" s="22">
        <v>39813</v>
      </c>
      <c r="D48" s="6">
        <v>41110</v>
      </c>
      <c r="E48" s="15">
        <v>0.7194</v>
      </c>
      <c r="F48" s="15">
        <v>-0.045</v>
      </c>
      <c r="G48" s="15">
        <v>-0.0817</v>
      </c>
      <c r="H48" s="15">
        <v>0.1543</v>
      </c>
      <c r="I48" s="15">
        <v>-0.1253</v>
      </c>
      <c r="J48" s="15">
        <v>0.0751</v>
      </c>
      <c r="K48" s="15">
        <v>-0.0789</v>
      </c>
      <c r="L48" s="15">
        <v>0.0971</v>
      </c>
      <c r="M48" s="15">
        <v>-0.0627</v>
      </c>
      <c r="N48" s="15">
        <v>0.0278</v>
      </c>
      <c r="O48" s="15">
        <v>0.231</v>
      </c>
      <c r="P48" s="15">
        <v>0.0568</v>
      </c>
      <c r="Q48" s="14"/>
      <c r="R48" s="14">
        <f>SUM(E48:P48)/12</f>
        <v>0.0806583333333333</v>
      </c>
      <c r="S48" s="15"/>
      <c r="T48" s="15">
        <v>0.1877</v>
      </c>
      <c r="U48" s="15">
        <v>0.408</v>
      </c>
      <c r="V48" s="15">
        <v>0.1844</v>
      </c>
      <c r="W48" s="15">
        <v>0.0858</v>
      </c>
      <c r="X48" s="15">
        <v>0.1868</v>
      </c>
      <c r="Y48" s="15">
        <v>0.168</v>
      </c>
      <c r="Z48" s="15">
        <v>0.1882</v>
      </c>
      <c r="AA48" s="15">
        <v>0.195</v>
      </c>
      <c r="AB48" s="15">
        <v>0.1824</v>
      </c>
      <c r="AC48" s="15">
        <v>0.1418</v>
      </c>
      <c r="AD48" s="15">
        <v>0.1869</v>
      </c>
      <c r="AE48" s="15">
        <v>0.1198</v>
      </c>
      <c r="AF48" s="15"/>
      <c r="AG48" s="15">
        <v>0.0568</v>
      </c>
      <c r="AH48" s="15">
        <v>0.1017</v>
      </c>
      <c r="AI48" s="15">
        <v>0.0658</v>
      </c>
      <c r="AJ48" s="15">
        <v>0.0451</v>
      </c>
      <c r="AK48" s="15">
        <v>0.036</v>
      </c>
      <c r="AL48" s="15">
        <v>0.0172</v>
      </c>
      <c r="AM48" s="16">
        <f>((1+E48)*(1+AL48)^11)^(1/12)-1</f>
        <v>0.0626834060889085</v>
      </c>
    </row>
    <row r="49" ht="15.75" spans="1:40">
      <c r="A49" s="19" t="s">
        <v>100</v>
      </c>
      <c r="B49" s="20">
        <v>399986</v>
      </c>
      <c r="C49" s="21">
        <v>38352</v>
      </c>
      <c r="D49" s="6">
        <v>41470</v>
      </c>
      <c r="E49" s="15">
        <v>0.6277</v>
      </c>
      <c r="F49" s="15">
        <v>-0.0067</v>
      </c>
      <c r="G49" s="15">
        <v>-0.0435</v>
      </c>
      <c r="H49" s="15">
        <v>0.1437</v>
      </c>
      <c r="I49" s="15">
        <v>-0.1469</v>
      </c>
      <c r="J49" s="15">
        <v>0.2265</v>
      </c>
      <c r="K49" s="15">
        <v>-0.0423</v>
      </c>
      <c r="L49" s="15">
        <v>-0.0441</v>
      </c>
      <c r="M49" s="15">
        <v>-0.0878</v>
      </c>
      <c r="N49" s="15">
        <v>-0.0727</v>
      </c>
      <c r="O49" s="15">
        <v>0.3471</v>
      </c>
      <c r="P49" s="15">
        <v>0.0679</v>
      </c>
      <c r="Q49" s="18"/>
      <c r="R49" s="14">
        <f>SUM(E49:P49)/12</f>
        <v>0.0807416666666667</v>
      </c>
      <c r="S49" s="15"/>
      <c r="T49" s="15">
        <v>0.2674</v>
      </c>
      <c r="U49" s="15">
        <v>0.3936</v>
      </c>
      <c r="V49" s="15">
        <v>0.1506</v>
      </c>
      <c r="W49" s="15">
        <v>0.1298</v>
      </c>
      <c r="X49" s="15">
        <v>0.204</v>
      </c>
      <c r="Y49" s="15">
        <v>0.1742</v>
      </c>
      <c r="Z49" s="15">
        <v>0.2134</v>
      </c>
      <c r="AA49" s="15">
        <v>0.1926</v>
      </c>
      <c r="AB49" s="15">
        <v>0.1939</v>
      </c>
      <c r="AC49" s="15">
        <v>0.1437</v>
      </c>
      <c r="AD49" s="15">
        <v>0.188</v>
      </c>
      <c r="AE49" s="15">
        <v>0.1483</v>
      </c>
      <c r="AF49" s="2"/>
      <c r="AG49" s="16">
        <v>0.0679297597042512</v>
      </c>
      <c r="AH49" s="16">
        <v>0.100823426580851</v>
      </c>
      <c r="AI49" s="16">
        <v>0.0307109570584148</v>
      </c>
      <c r="AJ49" s="16">
        <v>0.04561279864598</v>
      </c>
      <c r="AK49" s="16">
        <v>0.0324712249696983</v>
      </c>
      <c r="AL49" s="16">
        <v>0.021724601537281</v>
      </c>
      <c r="AM49" s="16">
        <f>((1+E49)*(1+AL49)^11)^(1/12)-1</f>
        <v>0.0621533585976486</v>
      </c>
    </row>
    <row r="50" ht="15.75" spans="1:40">
      <c r="A50" s="2" t="s">
        <v>101</v>
      </c>
      <c r="B50" s="39" t="s">
        <v>102</v>
      </c>
      <c r="C50" s="21">
        <v>38352</v>
      </c>
      <c r="D50" s="6">
        <v>40757</v>
      </c>
      <c r="E50" s="15">
        <v>0.4582</v>
      </c>
      <c r="F50" s="15">
        <v>0.3256</v>
      </c>
      <c r="G50" s="15">
        <v>-0.1441</v>
      </c>
      <c r="H50" s="15">
        <v>0.0234</v>
      </c>
      <c r="I50" s="15">
        <v>-0.2994</v>
      </c>
      <c r="J50" s="15">
        <v>0.3111</v>
      </c>
      <c r="K50" s="15">
        <v>0.2492</v>
      </c>
      <c r="L50" s="15">
        <v>0.0619</v>
      </c>
      <c r="M50" s="15">
        <v>-0.2032</v>
      </c>
      <c r="N50" s="15">
        <v>-0.0704</v>
      </c>
      <c r="O50" s="15">
        <v>0.0743</v>
      </c>
      <c r="P50" s="15">
        <v>0.246</v>
      </c>
      <c r="Q50" s="18"/>
      <c r="R50" s="14">
        <f>SUM(E50:P50)/12</f>
        <v>0.08605</v>
      </c>
      <c r="S50" s="15"/>
      <c r="T50" s="15">
        <v>0.1755</v>
      </c>
      <c r="U50" s="15">
        <v>0.4001</v>
      </c>
      <c r="V50" s="15">
        <v>0.2549</v>
      </c>
      <c r="W50" s="15">
        <v>0.1115</v>
      </c>
      <c r="X50" s="15">
        <v>0.2135</v>
      </c>
      <c r="Y50" s="15">
        <v>0.2063</v>
      </c>
      <c r="Z50" s="15">
        <v>0.2339</v>
      </c>
      <c r="AA50" s="15">
        <v>0.1601</v>
      </c>
      <c r="AB50" s="15">
        <v>0.2051</v>
      </c>
      <c r="AC50" s="15">
        <v>0.1277</v>
      </c>
      <c r="AD50" s="15">
        <v>0.2502</v>
      </c>
      <c r="AE50" s="15">
        <v>0.1769</v>
      </c>
      <c r="AF50" s="2"/>
      <c r="AG50" s="14">
        <v>0.246</v>
      </c>
      <c r="AH50" s="14">
        <v>0.0756</v>
      </c>
      <c r="AI50" s="14">
        <v>0.0104</v>
      </c>
      <c r="AJ50" s="14">
        <v>0.081</v>
      </c>
      <c r="AK50" s="14">
        <v>0.0239</v>
      </c>
      <c r="AL50" s="14">
        <v>0.0313</v>
      </c>
      <c r="AM50" s="16">
        <f>((1+E50)*(1+AL50)^11)^(1/12)-1</f>
        <v>0.0615025067524466</v>
      </c>
    </row>
    <row r="51" ht="15.75" spans="1:40">
      <c r="A51" s="19" t="s">
        <v>103</v>
      </c>
      <c r="B51" s="20">
        <v>399973</v>
      </c>
      <c r="C51" s="21">
        <v>40724</v>
      </c>
      <c r="D51" s="6">
        <v>41744</v>
      </c>
      <c r="E51" s="15">
        <v>0.6039</v>
      </c>
      <c r="F51" s="15">
        <v>0.3803</v>
      </c>
      <c r="G51" s="15">
        <v>-0.2122</v>
      </c>
      <c r="H51" s="15">
        <v>-0.2018</v>
      </c>
      <c r="I51" s="15">
        <v>-0.2752</v>
      </c>
      <c r="J51" s="15">
        <v>0.2471</v>
      </c>
      <c r="K51" s="15">
        <v>0.9049</v>
      </c>
      <c r="L51" s="15">
        <v>0.1508</v>
      </c>
      <c r="M51" s="15">
        <v>-0.2753</v>
      </c>
      <c r="N51" s="15">
        <v>-0.2236</v>
      </c>
      <c r="O51" s="15">
        <v>-0.008</v>
      </c>
      <c r="P51" s="15">
        <v>0.3052</v>
      </c>
      <c r="Q51" s="18"/>
      <c r="R51" s="14">
        <f>SUM(E51:P51)/12</f>
        <v>0.116341666666667</v>
      </c>
      <c r="S51" s="15"/>
      <c r="T51" s="15">
        <v>0.3211</v>
      </c>
      <c r="U51" s="15">
        <v>0.6014</v>
      </c>
      <c r="V51" s="15">
        <v>0.3431</v>
      </c>
      <c r="W51" s="15">
        <v>0.2317</v>
      </c>
      <c r="X51" s="15">
        <v>0.2902</v>
      </c>
      <c r="Y51" s="15">
        <v>0.2619</v>
      </c>
      <c r="Z51" s="15">
        <v>0.3677</v>
      </c>
      <c r="AA51" s="15">
        <v>0.3685</v>
      </c>
      <c r="AB51" s="15">
        <v>0.3259</v>
      </c>
      <c r="AC51" s="15">
        <v>0.1903</v>
      </c>
      <c r="AD51" s="15">
        <v>0.3578</v>
      </c>
      <c r="AE51" s="15">
        <v>0.2625</v>
      </c>
      <c r="AG51" s="16">
        <v>0.305193574872108</v>
      </c>
      <c r="AH51" s="16">
        <v>0.00176252383500319</v>
      </c>
      <c r="AI51" s="16">
        <v>-0.0346422404149804</v>
      </c>
      <c r="AJ51" s="16">
        <v>0.103429636600167</v>
      </c>
      <c r="AK51" s="16">
        <v>0.0158618859873962</v>
      </c>
      <c r="AL51" s="16">
        <v>0.0207021826986244</v>
      </c>
      <c r="AM51" s="16">
        <f>((1+E51)*(1+AL51)^11)^(1/12)-1</f>
        <v>0.0598772343156408</v>
      </c>
    </row>
    <row r="52" ht="15.75" spans="1:40">
      <c r="A52" s="2" t="s">
        <v>104</v>
      </c>
      <c r="B52" s="39" t="s">
        <v>105</v>
      </c>
      <c r="C52" s="6">
        <v>38352</v>
      </c>
      <c r="D52" s="6">
        <v>38450</v>
      </c>
      <c r="E52" s="14">
        <v>0.5166</v>
      </c>
      <c r="F52" s="14">
        <v>0.0558</v>
      </c>
      <c r="G52" s="14">
        <v>-0.1128</v>
      </c>
      <c r="H52" s="14">
        <v>0.2178</v>
      </c>
      <c r="I52" s="14">
        <v>-0.2531</v>
      </c>
      <c r="J52" s="14">
        <v>0.3607</v>
      </c>
      <c r="K52" s="14">
        <v>0.2721</v>
      </c>
      <c r="L52" s="14">
        <v>-0.052</v>
      </c>
      <c r="M52" s="14">
        <v>-0.2163</v>
      </c>
      <c r="N52" s="14">
        <v>-0.1138</v>
      </c>
      <c r="O52" s="14">
        <v>0.1468</v>
      </c>
      <c r="P52" s="14">
        <v>0.1766</v>
      </c>
      <c r="Q52" s="14"/>
      <c r="R52" s="14">
        <f>SUM(E52:P52)/12</f>
        <v>0.0832</v>
      </c>
      <c r="S52" s="15"/>
      <c r="T52" s="15">
        <v>0.1895</v>
      </c>
      <c r="U52" s="15">
        <v>0.3914</v>
      </c>
      <c r="V52" s="15">
        <v>0.2096</v>
      </c>
      <c r="W52" s="15">
        <v>0.0997</v>
      </c>
      <c r="X52" s="15">
        <v>0.2108</v>
      </c>
      <c r="Y52" s="15">
        <v>0.1948</v>
      </c>
      <c r="Z52" s="15">
        <v>0.225</v>
      </c>
      <c r="AA52" s="15">
        <v>0.183</v>
      </c>
      <c r="AB52" s="15">
        <v>0.2006</v>
      </c>
      <c r="AC52" s="15">
        <v>0.1324</v>
      </c>
      <c r="AD52" s="15">
        <v>0.208</v>
      </c>
      <c r="AE52" s="15">
        <v>0.1483</v>
      </c>
      <c r="AF52" s="15"/>
      <c r="AG52" s="16">
        <v>0.176631739988971</v>
      </c>
      <c r="AH52" s="16">
        <v>0.0614360626749091</v>
      </c>
      <c r="AI52" s="16">
        <v>-0.0233790771094365</v>
      </c>
      <c r="AJ52" s="16">
        <v>0.0634134676122176</v>
      </c>
      <c r="AK52" s="16">
        <v>0.03798956101064</v>
      </c>
      <c r="AL52" s="16">
        <v>0.0248673978066583</v>
      </c>
      <c r="AM52" s="16">
        <f>((1+E52)*(1+AL52)^11)^(1/12)-1</f>
        <v>0.0588910862475505</v>
      </c>
    </row>
    <row r="53" ht="15.75" spans="1:40">
      <c r="A53" s="25" t="s">
        <v>106</v>
      </c>
      <c r="B53" s="37" t="s">
        <v>107</v>
      </c>
      <c r="C53" s="26">
        <v>38352</v>
      </c>
      <c r="D53" s="27">
        <v>41403</v>
      </c>
      <c r="E53" s="14">
        <v>0.8726</v>
      </c>
      <c r="F53" s="14">
        <v>-0.1093</v>
      </c>
      <c r="G53" s="14">
        <v>-0.0882</v>
      </c>
      <c r="H53" s="14">
        <v>0.1674</v>
      </c>
      <c r="I53" s="14">
        <v>-0.2002</v>
      </c>
      <c r="J53" s="14">
        <v>0.328</v>
      </c>
      <c r="K53" s="14">
        <v>0.027</v>
      </c>
      <c r="L53" s="14">
        <v>-0.1101</v>
      </c>
      <c r="M53" s="14">
        <v>-0.1581</v>
      </c>
      <c r="N53" s="14">
        <v>-0.0555</v>
      </c>
      <c r="O53" s="14">
        <v>0.3272</v>
      </c>
      <c r="P53" s="14">
        <v>0.0786</v>
      </c>
      <c r="Q53" s="14"/>
      <c r="R53" s="14">
        <f>SUM(E53:P53)/12</f>
        <v>0.08995</v>
      </c>
      <c r="S53" s="15"/>
      <c r="T53" s="15">
        <v>0.2691</v>
      </c>
      <c r="U53" s="15">
        <v>0.4159</v>
      </c>
      <c r="V53" s="15">
        <v>0.1963</v>
      </c>
      <c r="W53" s="15">
        <v>0.1272</v>
      </c>
      <c r="X53" s="15">
        <v>0.2198</v>
      </c>
      <c r="Y53" s="15">
        <v>0.2162</v>
      </c>
      <c r="Z53" s="15">
        <v>0.2538</v>
      </c>
      <c r="AA53" s="15">
        <v>0.1919</v>
      </c>
      <c r="AB53" s="15">
        <v>0.2134</v>
      </c>
      <c r="AC53" s="15">
        <v>0.1659</v>
      </c>
      <c r="AD53" s="15">
        <v>0.2047</v>
      </c>
      <c r="AE53" s="15">
        <v>0.1439</v>
      </c>
      <c r="AF53" s="15"/>
      <c r="AG53" s="16">
        <v>0.0785771186959985</v>
      </c>
      <c r="AH53" s="16">
        <v>0.105758870313328</v>
      </c>
      <c r="AI53" s="16">
        <v>0.00257584714401737</v>
      </c>
      <c r="AJ53" s="16">
        <v>0.0472507857730955</v>
      </c>
      <c r="AK53" s="16">
        <v>0.0286820950543385</v>
      </c>
      <c r="AL53" s="16">
        <v>0.0042244148055115</v>
      </c>
      <c r="AM53" s="16">
        <f>((1+E53)*(1+AL53)^11)^(1/12)-1</f>
        <v>0.0577473908224282</v>
      </c>
    </row>
    <row r="54" ht="15.75" spans="1:40">
      <c r="A54" s="2" t="s">
        <v>108</v>
      </c>
      <c r="B54" s="39" t="s">
        <v>109</v>
      </c>
      <c r="C54" s="6">
        <v>38352</v>
      </c>
      <c r="D54" s="6">
        <v>39097</v>
      </c>
      <c r="E54" s="14">
        <v>0.3901</v>
      </c>
      <c r="F54" s="14">
        <v>0.4312</v>
      </c>
      <c r="G54" s="29">
        <v>-0.1778</v>
      </c>
      <c r="H54" s="29">
        <v>-0.002</v>
      </c>
      <c r="I54" s="29">
        <v>-0.3332</v>
      </c>
      <c r="J54" s="29">
        <v>0.2638</v>
      </c>
      <c r="K54" s="29">
        <v>0.2087</v>
      </c>
      <c r="L54" s="29">
        <v>0.1558</v>
      </c>
      <c r="M54" s="29">
        <v>-0.2031</v>
      </c>
      <c r="N54" s="29">
        <v>-0.0742</v>
      </c>
      <c r="O54" s="29">
        <v>0.0546</v>
      </c>
      <c r="P54" s="29">
        <v>0.3039</v>
      </c>
      <c r="Q54" s="29"/>
      <c r="R54" s="14">
        <f>SUM(E54:P54)/12</f>
        <v>0.0848166666666667</v>
      </c>
      <c r="S54" s="15"/>
      <c r="T54" s="15">
        <v>0.1946</v>
      </c>
      <c r="U54" s="15">
        <v>0.4455</v>
      </c>
      <c r="V54" s="15">
        <v>0.2906</v>
      </c>
      <c r="W54" s="15">
        <v>0.1462</v>
      </c>
      <c r="X54" s="15">
        <v>0.239</v>
      </c>
      <c r="Y54" s="15">
        <v>0.2307</v>
      </c>
      <c r="Z54" s="15">
        <v>0.2542</v>
      </c>
      <c r="AA54" s="15">
        <v>0.1513</v>
      </c>
      <c r="AB54" s="15">
        <v>0.2163</v>
      </c>
      <c r="AC54" s="15">
        <v>0.1282</v>
      </c>
      <c r="AD54" s="15">
        <v>0.2822</v>
      </c>
      <c r="AE54" s="15">
        <v>0.1971</v>
      </c>
      <c r="AF54" s="15"/>
      <c r="AG54" s="16">
        <v>0.303863437500546</v>
      </c>
      <c r="AH54" s="16">
        <v>0.0837889888341135</v>
      </c>
      <c r="AI54" s="16">
        <v>0.0323432531386587</v>
      </c>
      <c r="AJ54" s="16">
        <v>0.086829917389027</v>
      </c>
      <c r="AK54" s="16">
        <v>0.0196961135520293</v>
      </c>
      <c r="AL54" s="16">
        <v>0.0312341532705978</v>
      </c>
      <c r="AM54" s="16">
        <f>((1+E54)*(1+AL54)^11)^(1/12)-1</f>
        <v>0.0572183297409858</v>
      </c>
    </row>
    <row r="55" ht="15.75" spans="1:40">
      <c r="A55" s="25" t="s">
        <v>110</v>
      </c>
      <c r="B55" s="37" t="s">
        <v>111</v>
      </c>
      <c r="C55" s="26">
        <v>38352</v>
      </c>
      <c r="D55" s="27">
        <v>39997</v>
      </c>
      <c r="E55" s="14">
        <v>0.2517</v>
      </c>
      <c r="F55" s="14">
        <v>0.3767</v>
      </c>
      <c r="G55" s="14">
        <v>-0.1766</v>
      </c>
      <c r="H55" s="14">
        <v>0.1433</v>
      </c>
      <c r="I55" s="14">
        <v>-0.3245</v>
      </c>
      <c r="J55" s="14">
        <v>0.2999</v>
      </c>
      <c r="K55" s="14">
        <v>0.4728</v>
      </c>
      <c r="L55" s="14">
        <v>-0.0837</v>
      </c>
      <c r="M55" s="14">
        <v>-0.1972</v>
      </c>
      <c r="N55" s="14">
        <v>-0.1021</v>
      </c>
      <c r="O55" s="14">
        <v>0.1923</v>
      </c>
      <c r="P55" s="14">
        <v>0.0737</v>
      </c>
      <c r="Q55" s="14"/>
      <c r="R55" s="14">
        <f>SUM(E55:P55)/12</f>
        <v>0.0771916666666667</v>
      </c>
      <c r="S55" s="15"/>
      <c r="T55" s="15">
        <v>0.1911</v>
      </c>
      <c r="U55" s="15">
        <v>0.4101</v>
      </c>
      <c r="V55" s="15">
        <v>0.2531</v>
      </c>
      <c r="W55" s="15">
        <v>0.1254</v>
      </c>
      <c r="X55" s="15">
        <v>0.23</v>
      </c>
      <c r="Y55" s="15">
        <v>0.2138</v>
      </c>
      <c r="Z55" s="15">
        <v>0.2661</v>
      </c>
      <c r="AA55" s="15">
        <v>0.22</v>
      </c>
      <c r="AB55" s="15">
        <v>0.2467</v>
      </c>
      <c r="AC55" s="15">
        <v>0.1652</v>
      </c>
      <c r="AD55" s="15">
        <v>0.2241</v>
      </c>
      <c r="AE55" s="15">
        <v>0.1724</v>
      </c>
      <c r="AF55" s="15"/>
      <c r="AG55" s="16">
        <v>0.0736937590711175</v>
      </c>
      <c r="AH55" s="16">
        <v>0.0475147187072698</v>
      </c>
      <c r="AI55" s="16">
        <v>-0.0329950001607509</v>
      </c>
      <c r="AJ55" s="16">
        <v>0.0712395109037447</v>
      </c>
      <c r="AK55" s="16">
        <v>0.0251235376975074</v>
      </c>
      <c r="AL55" s="16">
        <v>0.0322077048980938</v>
      </c>
      <c r="AM55" s="16">
        <f>((1+E55)*(1+AL55)^11)^(1/12)-1</f>
        <v>0.0489260217151433</v>
      </c>
    </row>
    <row r="56" ht="15.75" spans="1:40">
      <c r="A56" s="19" t="s">
        <v>112</v>
      </c>
      <c r="B56" s="20">
        <v>399998</v>
      </c>
      <c r="C56" s="21">
        <v>39813</v>
      </c>
      <c r="D56" s="6">
        <v>42048</v>
      </c>
      <c r="E56" s="15">
        <v>0.2818</v>
      </c>
      <c r="F56" s="15">
        <v>0.0492</v>
      </c>
      <c r="G56" s="15">
        <v>0.0269</v>
      </c>
      <c r="H56" s="15">
        <v>0.12</v>
      </c>
      <c r="I56" s="15">
        <v>-0.3486</v>
      </c>
      <c r="J56" s="15">
        <v>0.1086</v>
      </c>
      <c r="K56" s="15">
        <v>0.0742</v>
      </c>
      <c r="L56" s="15">
        <v>0.4281</v>
      </c>
      <c r="M56" s="15">
        <v>0.102</v>
      </c>
      <c r="N56" s="15">
        <v>0.0326</v>
      </c>
      <c r="O56" s="15">
        <v>-0.0296</v>
      </c>
      <c r="P56" s="15">
        <v>-0.0877</v>
      </c>
      <c r="Q56" s="18"/>
      <c r="R56" s="14">
        <f>SUM(E56:P56)/12</f>
        <v>0.063125</v>
      </c>
      <c r="S56" s="15"/>
      <c r="T56" s="15">
        <v>0.2698</v>
      </c>
      <c r="U56" s="15">
        <v>0.4882</v>
      </c>
      <c r="V56" s="15">
        <v>0.347</v>
      </c>
      <c r="W56" s="15">
        <v>0.2453</v>
      </c>
      <c r="X56" s="15">
        <v>0.2717</v>
      </c>
      <c r="Y56" s="15">
        <v>0.2417</v>
      </c>
      <c r="Z56" s="15">
        <v>0.299</v>
      </c>
      <c r="AA56" s="15">
        <v>0.422</v>
      </c>
      <c r="AB56" s="15">
        <v>0.3698</v>
      </c>
      <c r="AC56" s="15">
        <v>0.1906</v>
      </c>
      <c r="AD56" s="15">
        <v>0.2702</v>
      </c>
      <c r="AE56" s="15">
        <v>0.2152</v>
      </c>
      <c r="AF56" s="2"/>
      <c r="AG56" s="16">
        <v>-0.0876612559921522</v>
      </c>
      <c r="AH56" s="16">
        <v>-0.0294923264089031</v>
      </c>
      <c r="AI56" s="16">
        <v>0.075428131221329</v>
      </c>
      <c r="AJ56" s="16">
        <v>0.0799281177142273</v>
      </c>
      <c r="AK56" s="16">
        <v>0.0250782339861382</v>
      </c>
      <c r="AL56" s="16">
        <v>0.0274148186713365</v>
      </c>
      <c r="AM56" s="16">
        <f>((1+E56)*(1+AL56)^11)^(1/12)-1</f>
        <v>0.0465308348624804</v>
      </c>
    </row>
    <row r="57" ht="15.75" spans="1:40">
      <c r="A57" s="2" t="s">
        <v>113</v>
      </c>
      <c r="B57" s="39" t="s">
        <v>114</v>
      </c>
      <c r="C57" s="6">
        <v>38352</v>
      </c>
      <c r="D57" s="6">
        <v>41929</v>
      </c>
      <c r="E57" s="14">
        <v>0.3446</v>
      </c>
      <c r="F57" s="14">
        <v>0.761</v>
      </c>
      <c r="G57" s="29">
        <v>-0.2001</v>
      </c>
      <c r="H57" s="29">
        <v>-0.1735</v>
      </c>
      <c r="I57" s="29">
        <v>-0.3687</v>
      </c>
      <c r="J57" s="29">
        <v>0.2567</v>
      </c>
      <c r="K57" s="29">
        <v>0.1939</v>
      </c>
      <c r="L57" s="29">
        <v>0.2052</v>
      </c>
      <c r="M57" s="29">
        <v>-0.2158</v>
      </c>
      <c r="N57" s="29">
        <v>-0.0628</v>
      </c>
      <c r="O57" s="29">
        <v>0.012</v>
      </c>
      <c r="P57" s="29">
        <v>0.2749</v>
      </c>
      <c r="Q57" s="29"/>
      <c r="R57" s="14">
        <f>SUM(E57:P57)/12</f>
        <v>0.0856166666666667</v>
      </c>
      <c r="S57" s="15"/>
      <c r="T57" s="15">
        <v>0.2106</v>
      </c>
      <c r="U57" s="15">
        <v>0.4621</v>
      </c>
      <c r="V57" s="15">
        <v>0.3177</v>
      </c>
      <c r="W57" s="15">
        <v>0.162</v>
      </c>
      <c r="X57" s="15">
        <v>0.2474</v>
      </c>
      <c r="Y57" s="15">
        <v>0.2469</v>
      </c>
      <c r="Z57" s="15">
        <v>0.2717</v>
      </c>
      <c r="AA57" s="15">
        <v>0.1873</v>
      </c>
      <c r="AB57" s="15">
        <v>0.2501</v>
      </c>
      <c r="AC57" s="15">
        <v>0.147</v>
      </c>
      <c r="AD57" s="15">
        <v>0.3291</v>
      </c>
      <c r="AE57" s="15">
        <v>0.2192</v>
      </c>
      <c r="AF57" s="15"/>
      <c r="AG57" s="16">
        <v>0.274863538400596</v>
      </c>
      <c r="AH57" s="16">
        <v>0.065346073028697</v>
      </c>
      <c r="AI57" s="16">
        <v>0.0270475430530286</v>
      </c>
      <c r="AJ57" s="16">
        <v>0.080061039476224</v>
      </c>
      <c r="AK57" s="16">
        <v>-0.0123084337691268</v>
      </c>
      <c r="AL57" s="16">
        <v>0.0212398166491423</v>
      </c>
      <c r="AM57" s="16">
        <f>((1+E57)*(1+AL57)^11)^(1/12)-1</f>
        <v>0.0449203477876698</v>
      </c>
    </row>
    <row r="58" ht="15.75" spans="1:40">
      <c r="A58" s="17" t="s">
        <v>115</v>
      </c>
      <c r="B58" s="20">
        <v>930902</v>
      </c>
      <c r="C58" s="6">
        <v>41274</v>
      </c>
      <c r="D58" s="6">
        <v>42661</v>
      </c>
      <c r="E58" s="15">
        <v>0.3915</v>
      </c>
      <c r="F58" s="15">
        <v>1.0857</v>
      </c>
      <c r="G58" s="15">
        <v>-0.3405</v>
      </c>
      <c r="H58" s="15">
        <v>-0.081</v>
      </c>
      <c r="I58" s="15">
        <v>-0.292</v>
      </c>
      <c r="J58" s="15">
        <v>0.4495</v>
      </c>
      <c r="K58" s="15">
        <v>0.0357</v>
      </c>
      <c r="L58" s="15">
        <v>-0.035</v>
      </c>
      <c r="M58" s="15">
        <v>-0.2568</v>
      </c>
      <c r="N58" s="15">
        <v>0.014</v>
      </c>
      <c r="O58" s="15">
        <v>0.1057</v>
      </c>
      <c r="P58" s="15">
        <v>0.1204</v>
      </c>
      <c r="Q58" s="18"/>
      <c r="R58" s="14">
        <f>SUM(E58:P58)/12</f>
        <v>0.0997666666666667</v>
      </c>
      <c r="S58" s="15"/>
      <c r="T58" s="15">
        <v>0.2828</v>
      </c>
      <c r="U58" s="15">
        <v>0.5385</v>
      </c>
      <c r="V58" s="15">
        <v>0.3521</v>
      </c>
      <c r="W58" s="15">
        <v>0.2288</v>
      </c>
      <c r="X58" s="15">
        <v>0.3617</v>
      </c>
      <c r="Y58" s="15">
        <v>0.344</v>
      </c>
      <c r="Z58" s="15">
        <v>0.3633</v>
      </c>
      <c r="AA58" s="15">
        <v>0.225</v>
      </c>
      <c r="AB58" s="15">
        <v>0.3023</v>
      </c>
      <c r="AC58" s="15">
        <v>0.3236</v>
      </c>
      <c r="AD58" s="15">
        <v>0.4097</v>
      </c>
      <c r="AE58" s="15">
        <v>0.3285</v>
      </c>
      <c r="AF58" s="2"/>
      <c r="AG58" s="16">
        <v>0.120405732535547</v>
      </c>
      <c r="AH58" s="16">
        <v>0.0789595444500362</v>
      </c>
      <c r="AI58" s="16">
        <v>-0.0206590049172252</v>
      </c>
      <c r="AJ58" s="16">
        <v>0.0440751811864402</v>
      </c>
      <c r="AK58" s="16">
        <v>-0.0141056882835999</v>
      </c>
      <c r="AL58" s="16">
        <v>0.0175111340487644</v>
      </c>
      <c r="AM58" s="16">
        <f>((1+E58)*(1+AL58)^11)^(1/12)-1</f>
        <v>0.0444023496403854</v>
      </c>
      <c r="AN58" s="31"/>
    </row>
    <row r="59" ht="15.75" spans="1:40">
      <c r="A59" s="25" t="s">
        <v>116</v>
      </c>
      <c r="B59" s="37" t="s">
        <v>117</v>
      </c>
      <c r="C59" s="26">
        <v>38352</v>
      </c>
      <c r="D59" s="27">
        <v>39997</v>
      </c>
      <c r="E59" s="14">
        <v>0.7467</v>
      </c>
      <c r="F59" s="14">
        <v>0.0605</v>
      </c>
      <c r="G59" s="14">
        <v>-0.1956</v>
      </c>
      <c r="H59" s="14">
        <v>-0.0167</v>
      </c>
      <c r="I59" s="14">
        <v>-0.1266</v>
      </c>
      <c r="J59" s="14">
        <v>0.0277</v>
      </c>
      <c r="K59" s="14">
        <v>-0.0324</v>
      </c>
      <c r="L59" s="14">
        <v>0.3442</v>
      </c>
      <c r="M59" s="14">
        <v>-0.1492</v>
      </c>
      <c r="N59" s="14">
        <v>0.0187</v>
      </c>
      <c r="O59" s="14">
        <v>0.153</v>
      </c>
      <c r="P59" s="14">
        <v>-0.0288</v>
      </c>
      <c r="Q59" s="14"/>
      <c r="R59" s="14">
        <f>SUM(E59:P59)/12</f>
        <v>0.0667916666666667</v>
      </c>
      <c r="S59" s="15"/>
      <c r="T59" s="15">
        <v>0.1971</v>
      </c>
      <c r="U59" s="15">
        <v>0.4415</v>
      </c>
      <c r="V59" s="15">
        <v>0.2135</v>
      </c>
      <c r="W59" s="15">
        <v>0.087</v>
      </c>
      <c r="X59" s="15">
        <v>0.1606</v>
      </c>
      <c r="Y59" s="15">
        <v>0.1396</v>
      </c>
      <c r="Z59" s="15">
        <v>0.1713</v>
      </c>
      <c r="AA59" s="15">
        <v>0.2486</v>
      </c>
      <c r="AB59" s="15">
        <v>0.2344</v>
      </c>
      <c r="AC59" s="15">
        <v>0.1232</v>
      </c>
      <c r="AD59" s="15">
        <v>0.1928</v>
      </c>
      <c r="AE59" s="15">
        <v>0.1204</v>
      </c>
      <c r="AF59" s="15"/>
      <c r="AG59" s="16">
        <v>-0.0287543419679435</v>
      </c>
      <c r="AH59" s="16">
        <v>0.0448803168884471</v>
      </c>
      <c r="AI59" s="16">
        <v>0.05462081938046</v>
      </c>
      <c r="AJ59" s="16">
        <v>0.0378779130525921</v>
      </c>
      <c r="AK59" s="16">
        <v>0.0120753499149739</v>
      </c>
      <c r="AL59" s="16">
        <v>-0.0046153032663816</v>
      </c>
      <c r="AM59" s="16">
        <f>((1+E59)*(1+AL59)^11)^(1/12)-1</f>
        <v>0.0431415384395393</v>
      </c>
    </row>
    <row r="60" ht="15.75" spans="1:40">
      <c r="A60" s="25" t="s">
        <v>118</v>
      </c>
      <c r="B60" s="37" t="s">
        <v>119</v>
      </c>
      <c r="C60" s="26">
        <v>38352</v>
      </c>
      <c r="D60" s="27">
        <v>39997</v>
      </c>
      <c r="E60" s="14">
        <v>0.5573</v>
      </c>
      <c r="F60" s="14">
        <v>0.1799</v>
      </c>
      <c r="G60" s="14">
        <v>-0.1753</v>
      </c>
      <c r="H60" s="14">
        <v>0.0104</v>
      </c>
      <c r="I60" s="14">
        <v>-0.3062</v>
      </c>
      <c r="J60" s="14">
        <v>0.1766</v>
      </c>
      <c r="K60" s="14">
        <v>0.3631</v>
      </c>
      <c r="L60" s="14">
        <v>0.171</v>
      </c>
      <c r="M60" s="14">
        <v>-0.2375</v>
      </c>
      <c r="N60" s="14">
        <v>-0.2147</v>
      </c>
      <c r="O60" s="14">
        <v>0.1147</v>
      </c>
      <c r="P60" s="14">
        <v>0.2207</v>
      </c>
      <c r="Q60" s="14"/>
      <c r="R60" s="14">
        <f>SUM(E60:P60)/12</f>
        <v>0.0716666666666667</v>
      </c>
      <c r="S60" s="15"/>
      <c r="T60" s="15">
        <v>0.2049</v>
      </c>
      <c r="U60" s="15">
        <v>0.4596</v>
      </c>
      <c r="V60" s="15">
        <v>0.2762</v>
      </c>
      <c r="W60" s="15">
        <v>0.1242</v>
      </c>
      <c r="X60" s="15">
        <v>0.2052</v>
      </c>
      <c r="Y60" s="15">
        <v>0.2048</v>
      </c>
      <c r="Z60" s="15">
        <v>0.2414</v>
      </c>
      <c r="AA60" s="15">
        <v>0.2156</v>
      </c>
      <c r="AB60" s="15">
        <v>0.2529</v>
      </c>
      <c r="AC60" s="15">
        <v>0.1542</v>
      </c>
      <c r="AD60" s="15">
        <v>0.2633</v>
      </c>
      <c r="AE60" s="15">
        <v>0.1916</v>
      </c>
      <c r="AF60" s="15"/>
      <c r="AG60" s="16">
        <v>0.220705137129333</v>
      </c>
      <c r="AH60" s="16">
        <v>0.0223403054211566</v>
      </c>
      <c r="AI60" s="16">
        <v>-0.00935004201023615</v>
      </c>
      <c r="AJ60" s="16">
        <v>0.0626586011573649</v>
      </c>
      <c r="AK60" s="16">
        <v>0.00783765216498922</v>
      </c>
      <c r="AL60" s="16">
        <v>0.00390835759750074</v>
      </c>
      <c r="AM60" s="16">
        <f>((1+E60)*(1+AL60)^11)^(1/12)-1</f>
        <v>0.0413193075979827</v>
      </c>
    </row>
    <row r="61" ht="15.75" spans="1:40">
      <c r="A61" s="19" t="s">
        <v>120</v>
      </c>
      <c r="B61" s="38" t="s">
        <v>121</v>
      </c>
      <c r="C61" s="21">
        <v>40907</v>
      </c>
      <c r="D61" s="6">
        <v>41177</v>
      </c>
      <c r="E61" s="15">
        <v>0.2864</v>
      </c>
      <c r="F61" s="15">
        <v>0.3945</v>
      </c>
      <c r="G61" s="15">
        <v>-0.1717</v>
      </c>
      <c r="H61" s="15">
        <v>-0.0104</v>
      </c>
      <c r="I61" s="15">
        <v>-0.3899</v>
      </c>
      <c r="J61" s="15">
        <v>0.1961</v>
      </c>
      <c r="K61" s="15">
        <v>0.5372</v>
      </c>
      <c r="L61" s="15">
        <v>0.4451</v>
      </c>
      <c r="M61" s="15">
        <v>-0.2508</v>
      </c>
      <c r="N61" s="15">
        <v>-0.3087</v>
      </c>
      <c r="O61" s="15">
        <v>0.005</v>
      </c>
      <c r="P61" s="15">
        <v>0.2698</v>
      </c>
      <c r="Q61" s="18"/>
      <c r="R61" s="14">
        <f>SUM(E61:P61)/12</f>
        <v>0.08355</v>
      </c>
      <c r="S61" s="15"/>
      <c r="T61" s="15">
        <v>0.2144</v>
      </c>
      <c r="U61" s="15">
        <v>0.4512</v>
      </c>
      <c r="V61" s="15">
        <v>0.2908</v>
      </c>
      <c r="W61" s="15">
        <v>0.1553</v>
      </c>
      <c r="X61" s="15">
        <v>0.2225</v>
      </c>
      <c r="Y61" s="15">
        <v>0.2367</v>
      </c>
      <c r="Z61" s="15">
        <v>0.2878</v>
      </c>
      <c r="AA61" s="15">
        <v>0.3163</v>
      </c>
      <c r="AB61" s="15">
        <v>0.3027</v>
      </c>
      <c r="AC61" s="15">
        <v>0.1934</v>
      </c>
      <c r="AD61" s="15">
        <v>0.2922</v>
      </c>
      <c r="AE61" s="15">
        <v>0.2324</v>
      </c>
      <c r="AF61" s="2"/>
      <c r="AG61" s="16">
        <v>0.26975333878441</v>
      </c>
      <c r="AH61" s="16">
        <v>-0.0409315217006395</v>
      </c>
      <c r="AI61" s="16">
        <v>-0.00915448898492521</v>
      </c>
      <c r="AJ61" s="16">
        <v>0.0837622051641667</v>
      </c>
      <c r="AK61" s="16">
        <v>0.00651310415021245</v>
      </c>
      <c r="AL61" s="16">
        <v>0.0185909671490054</v>
      </c>
      <c r="AM61" s="16">
        <f>((1+E61)*(1+AL61)^11)^(1/12)-1</f>
        <v>0.0385988517450842</v>
      </c>
    </row>
    <row r="62" ht="15.75" spans="1:40">
      <c r="A62" s="17" t="s">
        <v>122</v>
      </c>
      <c r="B62" s="20">
        <v>930726</v>
      </c>
      <c r="C62" s="27">
        <v>41089</v>
      </c>
      <c r="D62" s="6">
        <v>42221</v>
      </c>
      <c r="E62" s="15">
        <v>0.222</v>
      </c>
      <c r="F62" s="15">
        <v>0.7747</v>
      </c>
      <c r="G62" s="15">
        <v>-0.1937</v>
      </c>
      <c r="H62" s="15">
        <v>0.05</v>
      </c>
      <c r="I62" s="15">
        <v>-0.2564</v>
      </c>
      <c r="J62" s="15">
        <v>0.445</v>
      </c>
      <c r="K62" s="15">
        <v>0.5475</v>
      </c>
      <c r="L62" s="15">
        <v>-0.149</v>
      </c>
      <c r="M62" s="15">
        <v>-0.2523</v>
      </c>
      <c r="N62" s="15">
        <v>-0.0674</v>
      </c>
      <c r="O62" s="15">
        <v>-0.2113</v>
      </c>
      <c r="P62" s="15">
        <v>0.0859</v>
      </c>
      <c r="Q62" s="18"/>
      <c r="R62" s="14">
        <f>SUM(E62:P62)/12</f>
        <v>0.0829166666666667</v>
      </c>
      <c r="S62" s="15"/>
      <c r="T62" s="15">
        <v>0.2004</v>
      </c>
      <c r="U62" s="15">
        <v>0.4069</v>
      </c>
      <c r="V62" s="15">
        <v>0.282</v>
      </c>
      <c r="W62" s="15">
        <v>0.1479</v>
      </c>
      <c r="X62" s="15">
        <v>0.2981</v>
      </c>
      <c r="Y62" s="15">
        <v>0.2448</v>
      </c>
      <c r="Z62" s="15">
        <v>0.311</v>
      </c>
      <c r="AA62" s="15">
        <v>0.2633</v>
      </c>
      <c r="AB62" s="15">
        <v>0.2889</v>
      </c>
      <c r="AC62" s="15">
        <v>0.1919</v>
      </c>
      <c r="AD62" s="15">
        <v>0.2935</v>
      </c>
      <c r="AE62" s="15">
        <v>0.216</v>
      </c>
      <c r="AF62" s="2"/>
      <c r="AG62" s="16">
        <v>0.0858588553338313</v>
      </c>
      <c r="AH62" s="16">
        <v>-0.07216777771877</v>
      </c>
      <c r="AI62" s="16">
        <v>-0.126607480598441</v>
      </c>
      <c r="AJ62" s="16">
        <v>0.0184373423128299</v>
      </c>
      <c r="AK62" s="16">
        <v>-0.0132103830690334</v>
      </c>
      <c r="AL62" s="16">
        <v>0.0219315723896853</v>
      </c>
      <c r="AM62" s="16">
        <f>((1+E62)*(1+AL62)^11)^(1/12)-1</f>
        <v>0.0372718673812034</v>
      </c>
    </row>
    <row r="63" ht="15.75" spans="1:40">
      <c r="A63" s="19" t="s">
        <v>123</v>
      </c>
      <c r="B63" s="20">
        <v>930606</v>
      </c>
      <c r="C63" s="21">
        <v>39813</v>
      </c>
      <c r="D63" s="6">
        <v>42094</v>
      </c>
      <c r="E63" s="15">
        <v>0.7128</v>
      </c>
      <c r="F63" s="15">
        <v>0.0943</v>
      </c>
      <c r="G63" s="15">
        <v>-0.0828</v>
      </c>
      <c r="H63" s="15">
        <v>0.0972</v>
      </c>
      <c r="I63" s="15">
        <v>-0.3265</v>
      </c>
      <c r="J63" s="15">
        <v>-0.0157</v>
      </c>
      <c r="K63" s="15">
        <v>0.0178</v>
      </c>
      <c r="L63" s="15">
        <v>0.3411</v>
      </c>
      <c r="M63" s="15">
        <v>-0.2449</v>
      </c>
      <c r="N63" s="15">
        <v>-0.0689</v>
      </c>
      <c r="O63" s="15">
        <v>0.008</v>
      </c>
      <c r="P63" s="15">
        <v>0.2751</v>
      </c>
      <c r="Q63" s="18"/>
      <c r="R63" s="14">
        <f>SUM(E63:P63)/12</f>
        <v>0.0672916666666667</v>
      </c>
      <c r="S63" s="15"/>
      <c r="T63" s="15">
        <v>0.2366</v>
      </c>
      <c r="U63" s="15">
        <v>0.433</v>
      </c>
      <c r="V63" s="15">
        <v>0.3204</v>
      </c>
      <c r="W63" s="15">
        <v>0.2199</v>
      </c>
      <c r="X63" s="15">
        <v>0.239</v>
      </c>
      <c r="Y63" s="15">
        <v>0.2289</v>
      </c>
      <c r="Z63" s="15">
        <v>0.2497</v>
      </c>
      <c r="AA63" s="15">
        <v>0.3533</v>
      </c>
      <c r="AB63" s="15">
        <v>0.2477</v>
      </c>
      <c r="AC63" s="15">
        <v>0.1547</v>
      </c>
      <c r="AD63" s="15">
        <v>0.2545</v>
      </c>
      <c r="AE63" s="15">
        <v>0.2109</v>
      </c>
      <c r="AF63" s="2"/>
      <c r="AG63" s="16">
        <v>0.27512341422301</v>
      </c>
      <c r="AH63" s="16">
        <v>0.0616982403006807</v>
      </c>
      <c r="AI63" s="16">
        <v>0.0391906921963963</v>
      </c>
      <c r="AJ63" s="16">
        <v>0.0281098648669311</v>
      </c>
      <c r="AK63" s="16">
        <v>-0.0119723692464356</v>
      </c>
      <c r="AL63" s="16">
        <v>-0.00947559580708957</v>
      </c>
      <c r="AM63" s="16">
        <f>((1+E63)*(1+AL63)^11)^(1/12)-1</f>
        <v>0.0367768774669244</v>
      </c>
    </row>
    <row r="64" ht="15.75" spans="1:40">
      <c r="A64" s="19" t="s">
        <v>124</v>
      </c>
      <c r="B64" s="20">
        <v>399975</v>
      </c>
      <c r="C64" s="21">
        <v>39262</v>
      </c>
      <c r="D64" s="6">
        <v>41470</v>
      </c>
      <c r="E64" s="15">
        <v>1.5403</v>
      </c>
      <c r="F64" s="15">
        <v>-0.2771</v>
      </c>
      <c r="G64" s="15">
        <v>-0.1877</v>
      </c>
      <c r="H64" s="15">
        <v>-0.1235</v>
      </c>
      <c r="I64" s="15">
        <v>-0.2622</v>
      </c>
      <c r="J64" s="15">
        <v>0.445</v>
      </c>
      <c r="K64" s="15">
        <v>0.1655</v>
      </c>
      <c r="L64" s="15">
        <v>-0.0495</v>
      </c>
      <c r="M64" s="15">
        <v>-0.2737</v>
      </c>
      <c r="N64" s="15">
        <v>0.0304</v>
      </c>
      <c r="O64" s="15">
        <v>0.2726</v>
      </c>
      <c r="P64" s="15">
        <v>0.0254</v>
      </c>
      <c r="Q64" s="18"/>
      <c r="R64" s="14">
        <f>SUM(E64:P64)/12</f>
        <v>0.108791666666667</v>
      </c>
      <c r="S64" s="15"/>
      <c r="T64" s="15">
        <v>0.373</v>
      </c>
      <c r="U64" s="15">
        <v>0.5778</v>
      </c>
      <c r="V64" s="15">
        <v>0.3403</v>
      </c>
      <c r="W64" s="15">
        <v>0.1663</v>
      </c>
      <c r="X64" s="15">
        <v>0.3003</v>
      </c>
      <c r="Y64" s="15">
        <v>0.3479</v>
      </c>
      <c r="Z64" s="15">
        <v>0.3622</v>
      </c>
      <c r="AA64" s="15">
        <v>0.2458</v>
      </c>
      <c r="AB64" s="15">
        <v>0.2594</v>
      </c>
      <c r="AC64" s="15">
        <v>0.2199</v>
      </c>
      <c r="AD64" s="15">
        <v>0.3236</v>
      </c>
      <c r="AE64" s="15">
        <v>0.235</v>
      </c>
      <c r="AF64" s="2"/>
      <c r="AG64" s="16">
        <v>0.0254362650182203</v>
      </c>
      <c r="AH64" s="16">
        <v>0.103746441896304</v>
      </c>
      <c r="AI64" s="16">
        <v>-0.0147599969871279</v>
      </c>
      <c r="AJ64" s="16">
        <v>0.0659263492492745</v>
      </c>
      <c r="AK64" s="16">
        <v>0.00122459942894104</v>
      </c>
      <c r="AL64" s="16">
        <v>-0.0462945660640752</v>
      </c>
      <c r="AM64" s="16">
        <f>((1+E64)*(1+AL64)^11)^(1/12)-1</f>
        <v>0.0348327223542977</v>
      </c>
    </row>
    <row r="65" ht="15.75" spans="1:40">
      <c r="A65" s="19" t="s">
        <v>125</v>
      </c>
      <c r="B65" s="38" t="s">
        <v>126</v>
      </c>
      <c r="C65" s="21">
        <v>38352</v>
      </c>
      <c r="D65" s="6">
        <v>40114</v>
      </c>
      <c r="E65" s="15">
        <v>0.0484</v>
      </c>
      <c r="F65" s="15">
        <v>0.2593</v>
      </c>
      <c r="G65" s="15">
        <v>-0.1034</v>
      </c>
      <c r="H65" s="15">
        <v>0.2046</v>
      </c>
      <c r="I65" s="15">
        <v>-0.2479</v>
      </c>
      <c r="J65" s="15">
        <v>0.3793</v>
      </c>
      <c r="K65" s="15">
        <v>0.3347</v>
      </c>
      <c r="L65" s="15">
        <v>-0.0311</v>
      </c>
      <c r="M65" s="15">
        <v>-0.1702</v>
      </c>
      <c r="N65" s="15">
        <v>-0.1466</v>
      </c>
      <c r="O65" s="15">
        <v>-0.1054</v>
      </c>
      <c r="P65" s="15">
        <v>0.2308</v>
      </c>
      <c r="Q65" s="18"/>
      <c r="R65" s="14">
        <f>SUM(E65:P65)/12</f>
        <v>0.054375</v>
      </c>
      <c r="S65" s="15"/>
      <c r="T65" s="15">
        <v>0.1808</v>
      </c>
      <c r="U65" s="15">
        <v>0.4175</v>
      </c>
      <c r="V65" s="15">
        <v>0.2528</v>
      </c>
      <c r="W65" s="15">
        <v>0.1328</v>
      </c>
      <c r="X65" s="15">
        <v>0.2435</v>
      </c>
      <c r="Y65" s="15">
        <v>0.2145</v>
      </c>
      <c r="Z65" s="15">
        <v>0.2779</v>
      </c>
      <c r="AA65" s="15">
        <v>0.2064</v>
      </c>
      <c r="AB65" s="15">
        <v>0.2368</v>
      </c>
      <c r="AC65" s="15">
        <v>0.1368</v>
      </c>
      <c r="AD65" s="15">
        <v>0.2515</v>
      </c>
      <c r="AE65" s="15">
        <v>0.1625</v>
      </c>
      <c r="AF65" s="2"/>
      <c r="AG65" s="16">
        <v>0.230775281137731</v>
      </c>
      <c r="AH65" s="16">
        <v>-0.0205588596882729</v>
      </c>
      <c r="AI65" s="16">
        <v>-0.0545422714423441</v>
      </c>
      <c r="AJ65" s="16">
        <v>0.0482482077741175</v>
      </c>
      <c r="AK65" s="16">
        <v>0.0260144084133416</v>
      </c>
      <c r="AL65" s="16">
        <v>0.0325770914615615</v>
      </c>
      <c r="AM65" s="16">
        <f>((1+E65)*(1+AL65)^11)^(1/12)-1</f>
        <v>0.033886495997747</v>
      </c>
    </row>
    <row r="66" ht="15.75" spans="1:40">
      <c r="A66" s="19" t="s">
        <v>127</v>
      </c>
      <c r="B66" s="20">
        <v>930633</v>
      </c>
      <c r="C66" s="21">
        <v>39813</v>
      </c>
      <c r="D66" s="6">
        <v>42132</v>
      </c>
      <c r="E66" s="15">
        <v>0.4032</v>
      </c>
      <c r="F66" s="15">
        <v>0.7</v>
      </c>
      <c r="G66" s="15">
        <v>-0.245</v>
      </c>
      <c r="H66" s="15">
        <v>-0.025</v>
      </c>
      <c r="I66" s="15">
        <v>-0.2555</v>
      </c>
      <c r="J66" s="15">
        <v>0.2958</v>
      </c>
      <c r="K66" s="15">
        <v>0.1104</v>
      </c>
      <c r="L66" s="15">
        <v>-0.0242</v>
      </c>
      <c r="M66" s="15">
        <v>0.1209</v>
      </c>
      <c r="N66" s="15">
        <v>-0.3795</v>
      </c>
      <c r="O66" s="15">
        <v>0.0024</v>
      </c>
      <c r="P66" s="15">
        <v>0.1399</v>
      </c>
      <c r="Q66" s="18"/>
      <c r="R66" s="14">
        <f>SUM(E66:P66)/12</f>
        <v>0.0702833333333333</v>
      </c>
      <c r="S66" s="15"/>
      <c r="T66" s="15">
        <v>0.1902</v>
      </c>
      <c r="U66" s="15">
        <v>0.4417</v>
      </c>
      <c r="V66" s="15">
        <v>0.2526</v>
      </c>
      <c r="W66" s="15">
        <v>0.1489</v>
      </c>
      <c r="X66" s="15">
        <v>0.263</v>
      </c>
      <c r="Y66" s="15">
        <v>0.2238</v>
      </c>
      <c r="Z66" s="15">
        <v>0.3051</v>
      </c>
      <c r="AA66" s="15">
        <v>0.2519</v>
      </c>
      <c r="AB66" s="15">
        <v>0.3522</v>
      </c>
      <c r="AC66" s="15">
        <v>0.2146</v>
      </c>
      <c r="AD66" s="15">
        <v>0.2814</v>
      </c>
      <c r="AE66" s="15">
        <v>0.205</v>
      </c>
      <c r="AF66" s="2"/>
      <c r="AG66" s="16">
        <v>0.139872072622649</v>
      </c>
      <c r="AH66" s="16">
        <v>-0.108300324047242</v>
      </c>
      <c r="AI66" s="16">
        <v>-0.0495776781998742</v>
      </c>
      <c r="AJ66" s="16">
        <v>0.0157828606789527</v>
      </c>
      <c r="AK66" s="16">
        <v>-0.0231411954282826</v>
      </c>
      <c r="AL66" s="16">
        <v>0.00353440876959743</v>
      </c>
      <c r="AM66" s="16">
        <f>((1+E66)*(1+AL66)^11)^(1/12)-1</f>
        <v>0.0319639915340053</v>
      </c>
    </row>
    <row r="67" ht="15.75" spans="1:40">
      <c r="A67" s="25" t="s">
        <v>128</v>
      </c>
      <c r="B67" s="37" t="s">
        <v>129</v>
      </c>
      <c r="C67" s="26">
        <v>38352</v>
      </c>
      <c r="D67" s="27">
        <v>39997</v>
      </c>
      <c r="E67" s="14">
        <v>0.1987</v>
      </c>
      <c r="F67" s="14">
        <v>-0.1547</v>
      </c>
      <c r="G67" s="14">
        <v>-0.0203</v>
      </c>
      <c r="H67" s="14">
        <v>0.0631</v>
      </c>
      <c r="I67" s="14">
        <v>-0.2549</v>
      </c>
      <c r="J67" s="14">
        <v>0.1028</v>
      </c>
      <c r="K67" s="14">
        <v>-0.1204</v>
      </c>
      <c r="L67" s="14">
        <v>0.3593</v>
      </c>
      <c r="M67" s="14">
        <v>0.118</v>
      </c>
      <c r="N67" s="14">
        <v>0.1182</v>
      </c>
      <c r="O67" s="14">
        <v>0.119</v>
      </c>
      <c r="P67" s="14">
        <v>-0.0091</v>
      </c>
      <c r="Q67" s="14"/>
      <c r="R67" s="14">
        <f>SUM(E67:P67)/12</f>
        <v>0.0433083333333333</v>
      </c>
      <c r="S67" s="15"/>
      <c r="T67" s="15">
        <v>0.2184</v>
      </c>
      <c r="U67" s="15">
        <v>0.4253</v>
      </c>
      <c r="V67" s="15">
        <v>0.2762</v>
      </c>
      <c r="W67" s="15">
        <v>0.145</v>
      </c>
      <c r="X67" s="15">
        <v>0.2345</v>
      </c>
      <c r="Y67" s="15">
        <v>0.1835</v>
      </c>
      <c r="Z67" s="15">
        <v>0.23</v>
      </c>
      <c r="AA67" s="15">
        <v>0.3243</v>
      </c>
      <c r="AB67" s="15">
        <v>0.3218</v>
      </c>
      <c r="AC67" s="15">
        <v>0.1748</v>
      </c>
      <c r="AD67" s="15">
        <v>0.2411</v>
      </c>
      <c r="AE67" s="15">
        <v>0.1721</v>
      </c>
      <c r="AF67" s="15"/>
      <c r="AG67" s="16">
        <v>-0.009062661833247</v>
      </c>
      <c r="AH67" s="16">
        <v>0.0742969217149039</v>
      </c>
      <c r="AI67" s="16">
        <v>0.13508410347926</v>
      </c>
      <c r="AJ67" s="16">
        <v>0.0899782714438122</v>
      </c>
      <c r="AK67" s="16">
        <v>0.0419655423449763</v>
      </c>
      <c r="AL67" s="16">
        <v>0.0166232130846042</v>
      </c>
      <c r="AM67" s="16">
        <f>((1+E67)*(1+AL67)^11)^(1/12)-1</f>
        <v>0.0306769467118788</v>
      </c>
    </row>
    <row r="68" ht="15.75" spans="1:40">
      <c r="A68" s="19" t="s">
        <v>130</v>
      </c>
      <c r="B68" s="20">
        <v>930601</v>
      </c>
      <c r="C68" s="6">
        <v>38352</v>
      </c>
      <c r="D68" s="22">
        <v>42073</v>
      </c>
      <c r="E68" s="15">
        <v>0.491</v>
      </c>
      <c r="F68" s="15">
        <v>0.9748</v>
      </c>
      <c r="G68" s="15">
        <v>-0.3381</v>
      </c>
      <c r="H68" s="15">
        <v>-0.1679</v>
      </c>
      <c r="I68" s="15">
        <v>-0.2875</v>
      </c>
      <c r="J68" s="15">
        <v>0.4908</v>
      </c>
      <c r="K68" s="15">
        <v>0.0493</v>
      </c>
      <c r="L68" s="15">
        <v>-0.0122</v>
      </c>
      <c r="M68" s="15">
        <v>-0.2553</v>
      </c>
      <c r="N68" s="15">
        <v>-0.0837</v>
      </c>
      <c r="O68" s="15">
        <v>0.0243</v>
      </c>
      <c r="P68" s="15">
        <v>0.1185</v>
      </c>
      <c r="Q68" s="18"/>
      <c r="R68" s="14">
        <f>SUM(E68:P68)/12</f>
        <v>0.0836666666666667</v>
      </c>
      <c r="S68" s="15"/>
      <c r="T68" s="15">
        <v>0.2732</v>
      </c>
      <c r="U68" s="15">
        <v>0.5548</v>
      </c>
      <c r="V68" s="15">
        <v>0.3458</v>
      </c>
      <c r="W68" s="15">
        <v>0.1967</v>
      </c>
      <c r="X68" s="15">
        <v>0.338</v>
      </c>
      <c r="Y68" s="15">
        <v>0.3267</v>
      </c>
      <c r="Z68" s="15">
        <v>0.3376</v>
      </c>
      <c r="AA68" s="15">
        <v>0.23</v>
      </c>
      <c r="AB68" s="15">
        <v>0.3031</v>
      </c>
      <c r="AC68" s="15">
        <v>0.3192</v>
      </c>
      <c r="AD68" s="15">
        <v>0.422</v>
      </c>
      <c r="AE68" s="15">
        <v>0.3219</v>
      </c>
      <c r="AF68" s="2"/>
      <c r="AG68" s="16">
        <v>0.118538416380553</v>
      </c>
      <c r="AH68" s="16">
        <v>0.0163425331002549</v>
      </c>
      <c r="AI68" s="16">
        <v>-0.0503709730590877</v>
      </c>
      <c r="AJ68" s="16">
        <v>0.0273653650762569</v>
      </c>
      <c r="AK68" s="16">
        <v>-0.0364162950522618</v>
      </c>
      <c r="AL68" s="16">
        <v>-0.00598963660691765</v>
      </c>
      <c r="AM68" s="16">
        <f>((1+E68)*(1+AL68)^11)^(1/12)-1</f>
        <v>0.0281697128759744</v>
      </c>
    </row>
    <row r="69" ht="15.75" spans="1:40">
      <c r="A69" s="19" t="s">
        <v>131</v>
      </c>
      <c r="B69" s="20">
        <v>399989</v>
      </c>
      <c r="C69" s="6">
        <v>38352</v>
      </c>
      <c r="D69" s="6">
        <v>41943</v>
      </c>
      <c r="E69" s="15">
        <v>0.2051</v>
      </c>
      <c r="F69" s="15">
        <v>0.6766</v>
      </c>
      <c r="G69" s="15">
        <v>-0.2439</v>
      </c>
      <c r="H69" s="15">
        <v>-0.1352</v>
      </c>
      <c r="I69" s="15">
        <v>-0.1179</v>
      </c>
      <c r="J69" s="15">
        <v>0.4867</v>
      </c>
      <c r="K69" s="15">
        <v>0.7967</v>
      </c>
      <c r="L69" s="15">
        <v>-0.1471</v>
      </c>
      <c r="M69" s="15">
        <v>-0.251</v>
      </c>
      <c r="N69" s="15">
        <v>-0.2425</v>
      </c>
      <c r="O69" s="15">
        <v>-0.1716</v>
      </c>
      <c r="P69" s="15">
        <v>0.0308</v>
      </c>
      <c r="Q69" s="18"/>
      <c r="R69" s="14">
        <f>SUM(E69:P69)/12</f>
        <v>0.0738916666666667</v>
      </c>
      <c r="S69" s="15"/>
      <c r="T69" s="15">
        <v>0.2383</v>
      </c>
      <c r="U69" s="15">
        <v>0.5057</v>
      </c>
      <c r="V69" s="15">
        <v>0.3243</v>
      </c>
      <c r="W69" s="15">
        <v>0.174</v>
      </c>
      <c r="X69" s="15">
        <v>0.299</v>
      </c>
      <c r="Y69" s="15">
        <v>0.2434</v>
      </c>
      <c r="Z69" s="15">
        <v>0.3072</v>
      </c>
      <c r="AA69" s="15">
        <v>0.3347</v>
      </c>
      <c r="AB69" s="15">
        <v>0.3087</v>
      </c>
      <c r="AC69" s="15">
        <v>0.1999</v>
      </c>
      <c r="AD69" s="15">
        <v>0.3481</v>
      </c>
      <c r="AE69" s="15">
        <v>0.2162</v>
      </c>
      <c r="AF69" s="2"/>
      <c r="AG69" s="16">
        <v>0.0307750719325186</v>
      </c>
      <c r="AH69" s="16">
        <v>-0.135173002244907</v>
      </c>
      <c r="AI69" s="16">
        <v>-0.162008200944188</v>
      </c>
      <c r="AJ69" s="16">
        <v>0.0142070226121631</v>
      </c>
      <c r="AK69" s="16">
        <v>-0.0189221375712399</v>
      </c>
      <c r="AL69" s="16">
        <v>0.00595679394189608</v>
      </c>
      <c r="AM69" s="16">
        <f>((1+E69)*(1+AL69)^11)^(1/12)-1</f>
        <v>0.0212129370426379</v>
      </c>
    </row>
    <row r="70" ht="15.75" spans="1:40">
      <c r="A70" s="25" t="s">
        <v>132</v>
      </c>
      <c r="B70" s="37" t="s">
        <v>133</v>
      </c>
      <c r="C70" s="26">
        <v>38352</v>
      </c>
      <c r="D70" s="27">
        <v>39997</v>
      </c>
      <c r="E70" s="14">
        <v>0.1006</v>
      </c>
      <c r="F70" s="14">
        <v>0.4272</v>
      </c>
      <c r="G70" s="14">
        <v>-0.1212</v>
      </c>
      <c r="H70" s="14">
        <v>0.1375</v>
      </c>
      <c r="I70" s="14">
        <v>-0.2597</v>
      </c>
      <c r="J70" s="14">
        <v>0.3005</v>
      </c>
      <c r="K70" s="14">
        <v>0.5087</v>
      </c>
      <c r="L70" s="14">
        <v>-0.1224</v>
      </c>
      <c r="M70" s="14">
        <v>-0.2244</v>
      </c>
      <c r="N70" s="14">
        <v>-0.1245</v>
      </c>
      <c r="O70" s="14">
        <v>-0.1386</v>
      </c>
      <c r="P70" s="14">
        <v>0.0436</v>
      </c>
      <c r="Q70" s="14"/>
      <c r="R70" s="14">
        <f>SUM(E70:P70)/12</f>
        <v>0.0439416666666667</v>
      </c>
      <c r="S70" s="15"/>
      <c r="T70" s="15">
        <v>0.1711</v>
      </c>
      <c r="U70" s="15">
        <v>0.4104</v>
      </c>
      <c r="V70" s="15">
        <v>0.2485</v>
      </c>
      <c r="W70" s="15">
        <v>0.1206</v>
      </c>
      <c r="X70" s="15">
        <v>0.2669</v>
      </c>
      <c r="Y70" s="15">
        <v>0.2196</v>
      </c>
      <c r="Z70" s="15">
        <v>0.274</v>
      </c>
      <c r="AA70" s="15">
        <v>0.276</v>
      </c>
      <c r="AB70" s="15">
        <v>0.2764</v>
      </c>
      <c r="AC70" s="15">
        <v>0.171</v>
      </c>
      <c r="AD70" s="15">
        <v>0.2839</v>
      </c>
      <c r="AE70" s="15">
        <v>0.1809</v>
      </c>
      <c r="AF70" s="15"/>
      <c r="AG70" s="16">
        <v>0.0436328269108228</v>
      </c>
      <c r="AH70" s="16">
        <v>-0.0767289280959882</v>
      </c>
      <c r="AI70" s="16">
        <v>-0.117354607901402</v>
      </c>
      <c r="AJ70" s="16">
        <v>0.00715034884277754</v>
      </c>
      <c r="AK70" s="16">
        <v>-0.0134678232859439</v>
      </c>
      <c r="AL70" s="16">
        <v>0.00954515033809011</v>
      </c>
      <c r="AM70" s="16">
        <f>((1+E70)*(1+AL70)^11)^(1/12)-1</f>
        <v>0.0168363436499996</v>
      </c>
    </row>
    <row r="71" ht="15.75" spans="1:40">
      <c r="A71" s="19" t="s">
        <v>134</v>
      </c>
      <c r="B71" s="20">
        <v>399812</v>
      </c>
      <c r="C71" s="21">
        <v>38352</v>
      </c>
      <c r="D71" s="6">
        <v>41796</v>
      </c>
      <c r="E71" s="15">
        <v>0.2037</v>
      </c>
      <c r="F71" s="15">
        <v>0.4961</v>
      </c>
      <c r="G71" s="15">
        <v>-0.2062</v>
      </c>
      <c r="H71" s="15">
        <v>0.0847</v>
      </c>
      <c r="I71" s="15">
        <v>-0.2833</v>
      </c>
      <c r="J71" s="15">
        <v>0.2319</v>
      </c>
      <c r="K71" s="15">
        <v>0.2427</v>
      </c>
      <c r="L71" s="15">
        <v>-0.1249</v>
      </c>
      <c r="M71" s="15">
        <v>-0.1975</v>
      </c>
      <c r="N71" s="15">
        <v>-0.1062</v>
      </c>
      <c r="O71" s="15">
        <v>0.0218</v>
      </c>
      <c r="P71" s="15">
        <v>0.0534</v>
      </c>
      <c r="Q71" s="18"/>
      <c r="R71" s="14">
        <f>SUM(E71:P71)/12</f>
        <v>0.0346833333333333</v>
      </c>
      <c r="S71" s="15"/>
      <c r="T71" s="15">
        <v>0.1742</v>
      </c>
      <c r="U71" s="15">
        <v>0.4199</v>
      </c>
      <c r="V71" s="15">
        <v>0.2675</v>
      </c>
      <c r="W71" s="15">
        <v>0.1073</v>
      </c>
      <c r="X71" s="15">
        <v>0.2394</v>
      </c>
      <c r="Y71" s="15">
        <v>0.2121</v>
      </c>
      <c r="Z71" s="15">
        <v>0.2397</v>
      </c>
      <c r="AA71" s="15">
        <v>0.1976</v>
      </c>
      <c r="AB71" s="15">
        <v>0.2335</v>
      </c>
      <c r="AC71" s="15">
        <v>0.137</v>
      </c>
      <c r="AD71" s="15">
        <v>0.2587</v>
      </c>
      <c r="AE71" s="15">
        <v>0.1483</v>
      </c>
      <c r="AF71" s="2"/>
      <c r="AG71" s="16">
        <v>0.0534257538422118</v>
      </c>
      <c r="AH71" s="16">
        <v>-0.0128224204283688</v>
      </c>
      <c r="AI71" s="16">
        <v>-0.0754308542626382</v>
      </c>
      <c r="AJ71" s="16">
        <v>0.00483527336430312</v>
      </c>
      <c r="AK71" s="16">
        <v>-0.0239387219331878</v>
      </c>
      <c r="AL71" s="16">
        <v>-0.00418315458607554</v>
      </c>
      <c r="AM71" s="16">
        <f>((1+E71)*(1+AL71)^11)^(1/12)-1</f>
        <v>0.0116750385202196</v>
      </c>
    </row>
    <row r="72" ht="15.75" spans="1:40">
      <c r="A72" s="19" t="s">
        <v>135</v>
      </c>
      <c r="B72" s="20">
        <v>930641</v>
      </c>
      <c r="C72" s="27">
        <v>38352</v>
      </c>
      <c r="D72" s="6">
        <v>42143</v>
      </c>
      <c r="E72" s="15">
        <v>0.0607</v>
      </c>
      <c r="F72" s="15">
        <v>0.4459</v>
      </c>
      <c r="G72" s="15">
        <v>-0.1528</v>
      </c>
      <c r="H72" s="15">
        <v>-0.015</v>
      </c>
      <c r="I72" s="15">
        <v>-0.2871</v>
      </c>
      <c r="J72" s="15">
        <v>0.0402</v>
      </c>
      <c r="K72" s="15">
        <v>0.1345</v>
      </c>
      <c r="L72" s="15">
        <v>0.3357</v>
      </c>
      <c r="M72" s="15">
        <v>-0.1165</v>
      </c>
      <c r="N72" s="15">
        <v>0.0027</v>
      </c>
      <c r="O72" s="15">
        <v>-0.0813</v>
      </c>
      <c r="P72" s="15">
        <v>-0.0628</v>
      </c>
      <c r="Q72" s="18"/>
      <c r="R72" s="14">
        <f>SUM(E72:P72)/12</f>
        <v>0.02535</v>
      </c>
      <c r="S72" s="15"/>
      <c r="T72" s="15">
        <v>0.1759</v>
      </c>
      <c r="U72" s="15">
        <v>0.4463</v>
      </c>
      <c r="V72" s="15">
        <v>0.2634</v>
      </c>
      <c r="W72" s="15">
        <v>0.1219</v>
      </c>
      <c r="X72" s="15">
        <v>0.2333</v>
      </c>
      <c r="Y72" s="15">
        <v>0.2296</v>
      </c>
      <c r="Z72" s="15">
        <v>0.2467</v>
      </c>
      <c r="AA72" s="15">
        <v>0.2361</v>
      </c>
      <c r="AB72" s="15">
        <v>0.3121</v>
      </c>
      <c r="AC72" s="15">
        <v>0.1921</v>
      </c>
      <c r="AD72" s="15">
        <v>0.2626</v>
      </c>
      <c r="AE72" s="15">
        <v>0.1427</v>
      </c>
      <c r="AF72" s="2"/>
      <c r="AG72" s="16">
        <v>-0.0627543843750369</v>
      </c>
      <c r="AH72" s="16">
        <v>-0.0477860690446289</v>
      </c>
      <c r="AI72" s="16">
        <v>0.00372926977885268</v>
      </c>
      <c r="AJ72" s="16">
        <v>0.0266735034415828</v>
      </c>
      <c r="AK72" s="16">
        <v>-0.0186242409381979</v>
      </c>
      <c r="AL72" s="16">
        <v>0.00306428342588227</v>
      </c>
      <c r="AM72" s="16">
        <f>((1+E72)*(1+AL72)^11)^(1/12)-1</f>
        <v>0.00774522749296502</v>
      </c>
    </row>
    <row r="73" ht="15.75" spans="1:40">
      <c r="A73" s="19" t="s">
        <v>136</v>
      </c>
      <c r="B73" s="20">
        <v>399971</v>
      </c>
      <c r="C73" s="21">
        <v>40543</v>
      </c>
      <c r="D73" s="6">
        <v>41744</v>
      </c>
      <c r="E73" s="15">
        <v>0.1899</v>
      </c>
      <c r="F73" s="15">
        <v>0.6935</v>
      </c>
      <c r="G73" s="15">
        <v>-0.3232</v>
      </c>
      <c r="H73" s="15">
        <v>-0.1772</v>
      </c>
      <c r="I73" s="15">
        <v>-0.3692</v>
      </c>
      <c r="J73" s="15">
        <v>0.267</v>
      </c>
      <c r="K73" s="15">
        <v>-0.0122</v>
      </c>
      <c r="L73" s="15">
        <v>-0.021</v>
      </c>
      <c r="M73" s="15">
        <v>-0.3114</v>
      </c>
      <c r="N73" s="15">
        <v>0.1957</v>
      </c>
      <c r="O73" s="15">
        <v>0.0535</v>
      </c>
      <c r="P73" s="15">
        <v>0.2726</v>
      </c>
      <c r="Q73" s="18"/>
      <c r="R73" s="14">
        <f>SUM(E73:P73)/12</f>
        <v>0.0381666666666667</v>
      </c>
      <c r="S73" s="15"/>
      <c r="T73" s="15">
        <v>0.2533</v>
      </c>
      <c r="U73" s="15">
        <v>0.4663</v>
      </c>
      <c r="V73" s="15">
        <v>0.3075</v>
      </c>
      <c r="W73" s="15">
        <v>0.1506</v>
      </c>
      <c r="X73" s="15">
        <v>0.2709</v>
      </c>
      <c r="Y73" s="15">
        <v>0.2842</v>
      </c>
      <c r="Z73" s="15">
        <v>0.2977</v>
      </c>
      <c r="AA73" s="15">
        <v>0.2338</v>
      </c>
      <c r="AB73" s="15">
        <v>0.2922</v>
      </c>
      <c r="AC73" s="15">
        <v>0.3609</v>
      </c>
      <c r="AD73" s="15">
        <v>0.3736</v>
      </c>
      <c r="AE73" s="15">
        <v>0.2645</v>
      </c>
      <c r="AF73" s="2"/>
      <c r="AG73" s="16">
        <v>0.272625109138219</v>
      </c>
      <c r="AH73" s="16">
        <v>0.170353803055397</v>
      </c>
      <c r="AI73" s="16">
        <v>0.0156277032405649</v>
      </c>
      <c r="AJ73" s="16">
        <v>0.0440738743229381</v>
      </c>
      <c r="AK73" s="16">
        <v>-0.0385617942170416</v>
      </c>
      <c r="AL73" s="16">
        <v>-0.0195744379693918</v>
      </c>
      <c r="AM73" s="16">
        <f>((1+E73)*(1+AL73)^11)^(1/12)-1</f>
        <v>-0.00362548123840345</v>
      </c>
    </row>
    <row r="74" ht="15.75" spans="1:40">
      <c r="A74" s="25" t="s">
        <v>137</v>
      </c>
      <c r="B74" s="25">
        <v>399965</v>
      </c>
      <c r="C74" s="26">
        <v>38352</v>
      </c>
      <c r="D74" s="27">
        <v>41264</v>
      </c>
      <c r="E74" s="14">
        <v>0.409</v>
      </c>
      <c r="F74" s="14">
        <v>-0.1765</v>
      </c>
      <c r="G74" s="14">
        <v>0.0947</v>
      </c>
      <c r="H74" s="14">
        <v>-0.2592</v>
      </c>
      <c r="I74" s="14">
        <v>0.2656</v>
      </c>
      <c r="J74" s="14">
        <v>-0.1543</v>
      </c>
      <c r="K74" s="14">
        <v>-0.1506</v>
      </c>
      <c r="L74" s="14">
        <v>-0.1465</v>
      </c>
      <c r="M74" s="14">
        <v>-0.3323</v>
      </c>
      <c r="N74" s="14">
        <v>-0.0341</v>
      </c>
      <c r="O74" s="14">
        <v>-0.0526</v>
      </c>
      <c r="P74" s="14">
        <v>0.0805</v>
      </c>
      <c r="Q74" s="14"/>
      <c r="R74" s="14">
        <f>SUM(E74:P74)/12</f>
        <v>-0.038025</v>
      </c>
      <c r="S74" s="15"/>
      <c r="T74" s="15">
        <v>0.2022</v>
      </c>
      <c r="U74" s="15">
        <v>0.4381</v>
      </c>
      <c r="V74" s="15">
        <v>0.2449</v>
      </c>
      <c r="W74" s="15">
        <v>0.1685</v>
      </c>
      <c r="X74" s="15">
        <v>0.2966</v>
      </c>
      <c r="Y74" s="15">
        <v>0.2391</v>
      </c>
      <c r="Z74" s="15">
        <v>0.2606</v>
      </c>
      <c r="AA74" s="15">
        <v>0.2515</v>
      </c>
      <c r="AB74" s="15">
        <v>0.3558</v>
      </c>
      <c r="AC74" s="15">
        <v>0.2295</v>
      </c>
      <c r="AD74" s="15">
        <v>0.3627</v>
      </c>
      <c r="AE74" s="15">
        <v>0.2218</v>
      </c>
      <c r="AF74" s="15"/>
      <c r="AG74" s="16">
        <v>-0.039867460063433</v>
      </c>
      <c r="AH74" s="16">
        <v>-0.147663537229496</v>
      </c>
      <c r="AI74" s="16">
        <v>-0.148022871132072</v>
      </c>
      <c r="AJ74" s="16">
        <v>-0.0994174606554133</v>
      </c>
      <c r="AK74" s="16">
        <v>-0.0994358926248909</v>
      </c>
      <c r="AL74" s="16">
        <v>-0.0696342501901761</v>
      </c>
      <c r="AM74" s="16">
        <f>((1+E74)*(1+AL74)^11)^(1/12)-1</f>
        <v>-0.0368916371029883</v>
      </c>
    </row>
    <row r="76" ht="15.75" spans="1:40">
      <c r="E76" s="14"/>
      <c r="F76" s="14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14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6"/>
      <c r="AH76" s="16"/>
      <c r="AI76" s="16"/>
      <c r="AJ76" s="16"/>
      <c r="AK76" s="16"/>
      <c r="AL76" s="16"/>
      <c r="AM76" s="16"/>
    </row>
    <row r="77" ht="15.75" spans="1:40">
      <c r="E77" s="14"/>
      <c r="F77" s="32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14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6"/>
      <c r="AH77" s="16"/>
      <c r="AI77" s="16"/>
      <c r="AJ77" s="16"/>
      <c r="AK77" s="16"/>
      <c r="AL77" s="16"/>
      <c r="AM77" s="16"/>
    </row>
    <row r="78" ht="15.75" spans="1:40">
      <c r="E78" s="14"/>
      <c r="F78" s="14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14"/>
      <c r="Z78" s="15"/>
      <c r="AA78" s="15"/>
      <c r="AB78" s="15"/>
      <c r="AC78" s="15"/>
      <c r="AD78" s="15"/>
      <c r="AE78" s="15"/>
      <c r="AF78" s="15"/>
      <c r="AG78" s="16"/>
      <c r="AH78" s="16"/>
      <c r="AI78" s="16"/>
      <c r="AJ78" s="31"/>
      <c r="AK78" s="31"/>
      <c r="AL78" s="31"/>
      <c r="AM78" s="31"/>
      <c r="AN78" s="3"/>
    </row>
    <row r="79" spans="1:40">
      <c r="A79" s="4"/>
      <c r="B79" s="4"/>
      <c r="C79" s="33"/>
      <c r="D79" s="33"/>
      <c r="E79" s="34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1:40">
      <c r="E80" s="14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14"/>
    </row>
    <row r="81" ht="15.75" spans="1:39">
      <c r="C81" s="22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6"/>
      <c r="AH81" s="16"/>
      <c r="AI81" s="16"/>
      <c r="AJ81" s="16"/>
      <c r="AK81" s="16"/>
      <c r="AL81" s="16"/>
      <c r="AM81" s="16"/>
    </row>
    <row r="83" ht="15.75" spans="1:39">
      <c r="C83" s="22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6"/>
      <c r="AH83" s="16"/>
      <c r="AI83" s="16"/>
      <c r="AJ83" s="16"/>
      <c r="AK83" s="16"/>
      <c r="AL83" s="16"/>
      <c r="AM83" s="16"/>
    </row>
    <row r="84" ht="15.75" spans="1:39">
      <c r="C84" s="22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6"/>
      <c r="AH84" s="16"/>
      <c r="AI84" s="16"/>
      <c r="AJ84" s="16"/>
      <c r="AK84" s="16"/>
      <c r="AL84" s="16"/>
      <c r="AM84" s="16"/>
    </row>
    <row r="85" ht="15.75" spans="1:39">
      <c r="C85" s="22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6"/>
      <c r="AH85" s="16"/>
      <c r="AI85" s="16"/>
      <c r="AJ85" s="16"/>
      <c r="AK85" s="16"/>
      <c r="AL85" s="16"/>
      <c r="AM85" s="16"/>
    </row>
    <row r="86" ht="15.75" spans="1:39">
      <c r="C86" s="22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6"/>
      <c r="AH86" s="16"/>
      <c r="AI86" s="16"/>
      <c r="AJ86" s="16"/>
      <c r="AK86" s="16"/>
      <c r="AL86" s="16"/>
      <c r="AM86" s="16"/>
    </row>
    <row r="87" spans="1:39">
      <c r="C87" s="14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</row>
    <row r="88" ht="15.75" spans="1:39">
      <c r="A88" s="17"/>
      <c r="B88" s="20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8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G88" s="16"/>
      <c r="AH88" s="16"/>
      <c r="AI88" s="16"/>
      <c r="AJ88" s="16"/>
      <c r="AK88" s="16"/>
      <c r="AL88" s="16"/>
      <c r="AM88" s="16"/>
    </row>
    <row r="89" ht="15.75" spans="1:39">
      <c r="A89" s="17"/>
      <c r="B89" s="20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8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G89" s="16"/>
      <c r="AH89" s="16"/>
      <c r="AI89" s="16"/>
      <c r="AJ89" s="16"/>
      <c r="AK89" s="16"/>
      <c r="AL89" s="16"/>
      <c r="AM89" s="16"/>
    </row>
    <row r="90" spans="1:39">
      <c r="A90" s="20"/>
      <c r="B90" s="20"/>
      <c r="C90" s="2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</row>
    <row r="91" spans="1:39">
      <c r="A91" s="20"/>
      <c r="B91" s="20"/>
      <c r="C91" s="2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</row>
    <row r="92" spans="1:39">
      <c r="A92" s="20"/>
      <c r="B92" s="20"/>
      <c r="C92" s="14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</row>
    <row r="93" s="2" customFormat="1" spans="1:39">
      <c r="C93" s="14"/>
      <c r="D93" s="6"/>
      <c r="E93" s="6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7"/>
    </row>
    <row r="98" spans="1:17">
      <c r="A98" s="20"/>
      <c r="B98" s="20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</row>
    <row r="104" spans="1:17"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</row>
    <row r="105" spans="1:17"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</row>
    <row r="106" spans="1:17"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</row>
    <row r="107" spans="1:17"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</row>
    <row r="108" spans="1:17"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</row>
    <row r="109" spans="1:17"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</row>
    <row r="110" spans="1:17"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</row>
    <row r="111" spans="1:17"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</row>
    <row r="112" spans="1:17"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</row>
    <row r="113" spans="6:17"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</row>
    <row r="114" spans="6:17"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</row>
    <row r="115" spans="6:17"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</row>
    <row r="116" spans="6:17"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</row>
    <row r="117" spans="6:17"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</row>
    <row r="118" spans="6:17"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</row>
    <row r="119" spans="6:17"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</row>
    <row r="120" spans="6:17"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</row>
    <row r="121" spans="6:17"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</row>
    <row r="122" spans="6:17"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</row>
    <row r="123" spans="6:17"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</row>
    <row r="124" spans="6:17"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</row>
    <row r="125" spans="6:17"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</row>
    <row r="126" spans="6:17"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</row>
    <row r="127" spans="6:17"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</row>
    <row r="128" spans="6:17"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</row>
    <row r="129" spans="6:17"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</row>
    <row r="130" spans="6:17"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</row>
    <row r="131" spans="6:17"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</row>
    <row r="132" spans="6:17"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</row>
    <row r="133" spans="6:17"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</row>
    <row r="134" spans="6:17"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</row>
    <row r="135" spans="6:17"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</row>
    <row r="136" spans="6:17"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</row>
    <row r="137" spans="6:17"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</row>
    <row r="138" spans="6:17"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</row>
    <row r="139" spans="6:17"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</row>
    <row r="140" spans="6:17"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</row>
    <row r="141" spans="6:17"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</row>
    <row r="142" spans="6:17"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</row>
    <row r="143" spans="6:17"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</row>
    <row r="144" spans="6:17"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</row>
    <row r="145" spans="6:17"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</row>
    <row r="146" spans="6:17"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</row>
    <row r="147" spans="6:17"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</row>
    <row r="148" spans="6:17"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</row>
    <row r="149" spans="6:17"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</row>
    <row r="150" spans="6:17"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</row>
    <row r="151" spans="6:17"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</row>
    <row r="152" spans="6:17"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</row>
    <row r="153" spans="6:17"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</row>
    <row r="154" spans="6:17"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</row>
    <row r="155" spans="6:17"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</row>
    <row r="156" spans="6:17"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</row>
    <row r="157" spans="6:17"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</row>
    <row r="158" spans="6:17"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</row>
    <row r="159" spans="6:17"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</row>
    <row r="160" spans="6:17"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</row>
    <row r="161" spans="6:17"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</row>
    <row r="162" spans="6:17"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</row>
    <row r="163" spans="6:17"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</row>
    <row r="164" spans="6:17"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</row>
    <row r="165" spans="6:17"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</row>
    <row r="166" spans="6:17"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</row>
    <row r="167" spans="6:17"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</row>
    <row r="168" spans="6:17"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</row>
    <row r="169" spans="6:17"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</row>
    <row r="170" spans="6:17"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</row>
    <row r="171" spans="6:17"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</row>
    <row r="172" spans="6:17"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</row>
    <row r="173" spans="6:17"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</row>
    <row r="174" spans="6:17"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</row>
    <row r="175" spans="6:17"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</row>
    <row r="176" spans="6:17"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</row>
    <row r="177" spans="6:17"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</row>
    <row r="178" spans="6:17"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</row>
    <row r="179" spans="6:17"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</row>
    <row r="180" spans="6:17"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</row>
    <row r="181" spans="6:17"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</row>
    <row r="182" spans="6:17"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</row>
    <row r="183" spans="6:17"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</row>
    <row r="184" spans="6:17"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</row>
    <row r="185" spans="6:17"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</row>
    <row r="186" spans="6:17"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</row>
    <row r="187" spans="6:17"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</row>
    <row r="188" spans="6:17"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</row>
    <row r="189" spans="6:17"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</row>
    <row r="190" spans="6:17"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</row>
    <row r="191" spans="6:17"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</row>
    <row r="192" spans="6:17"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</row>
    <row r="193" spans="6:17"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</row>
    <row r="194" spans="6:17"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</row>
    <row r="195" spans="6:17"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</row>
    <row r="196" spans="6:17"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</row>
    <row r="197" spans="6:17"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</row>
    <row r="198" spans="6:17"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</row>
    <row r="199" spans="6:17"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</row>
    <row r="200" spans="6:17"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</row>
    <row r="201" spans="6:17"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</row>
    <row r="202" spans="6:17"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</row>
    <row r="203" spans="6:17"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</row>
    <row r="204" spans="6:17"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</row>
    <row r="205" spans="6:17"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</row>
    <row r="206" spans="6:17"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</row>
    <row r="207" spans="6:17"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</row>
    <row r="208" spans="6:17"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</row>
    <row r="209" spans="6:17"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</row>
    <row r="210" spans="6:17"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</row>
    <row r="211" spans="6:17"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</row>
    <row r="212" spans="6:17"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</row>
    <row r="213" spans="6:17"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</row>
    <row r="214" spans="6:17"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</row>
    <row r="215" spans="6:17"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</row>
    <row r="216" spans="6:17"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</row>
    <row r="217" spans="6:17"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</row>
    <row r="218" spans="6:17"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</row>
    <row r="219" spans="6:17"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</row>
    <row r="220" spans="6:17"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</row>
    <row r="221" spans="6:17"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</row>
    <row r="222" spans="6:17"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</row>
    <row r="223" spans="6:17"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</row>
    <row r="224" spans="6:17"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</row>
    <row r="225" spans="6:17"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</row>
    <row r="226" spans="6:17"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</row>
    <row r="227" spans="6:17"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</row>
    <row r="228" spans="6:17"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</row>
    <row r="229" spans="6:17"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</row>
    <row r="230" spans="6:17"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</row>
    <row r="231" spans="6:17"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</row>
    <row r="232" spans="6:17"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</row>
    <row r="233" spans="6:17"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</row>
    <row r="234" spans="6:17"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</row>
    <row r="235" spans="6:17"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</row>
    <row r="236" spans="6:17"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</row>
    <row r="237" spans="6:17"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</row>
    <row r="238" spans="6:17"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</row>
    <row r="239" spans="6:17"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</row>
    <row r="240" spans="6:17"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</row>
    <row r="241" spans="6:17"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</row>
    <row r="242" spans="6:17"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</row>
    <row r="243" spans="6:17"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</row>
    <row r="244" spans="6:17"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</row>
    <row r="245" spans="6:17"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</row>
    <row r="246" spans="6:17"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</row>
    <row r="247" spans="6:17"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</row>
    <row r="248" spans="6:17"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</row>
    <row r="249" spans="6:17"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</row>
    <row r="250" spans="6:17"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</row>
    <row r="251" spans="6:17"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</row>
    <row r="252" spans="6:17"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</row>
    <row r="253" spans="6:17"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</row>
    <row r="254" spans="6:17"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</row>
    <row r="255" spans="6:17"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</row>
    <row r="256" spans="6:17"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</row>
    <row r="257" spans="6:17"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</row>
    <row r="258" spans="6:17"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</row>
    <row r="259" spans="6:17"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</row>
    <row r="260" spans="6:17"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</row>
    <row r="261" spans="6:17"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</row>
    <row r="262" spans="6:17"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</row>
    <row r="263" spans="6:17"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</row>
    <row r="264" spans="6:17"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</row>
    <row r="265" spans="6:17"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</row>
    <row r="266" spans="6:17"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</row>
    <row r="267" spans="6:17">
      <c r="F267" s="36" t="e">
        <f>(#REF!-#REF!)/#REF!</f>
        <v>#REF!</v>
      </c>
      <c r="G267" s="36" t="e">
        <f>(#REF!-#REF!)/#REF!</f>
        <v>#REF!</v>
      </c>
      <c r="H267" s="36" t="e">
        <f>(#REF!-#REF!)/#REF!</f>
        <v>#REF!</v>
      </c>
      <c r="I267" s="36" t="e">
        <f>(#REF!-#REF!)/#REF!</f>
        <v>#REF!</v>
      </c>
      <c r="J267" s="36" t="e">
        <f>(#REF!-#REF!)/#REF!</f>
        <v>#REF!</v>
      </c>
      <c r="K267" s="36">
        <f>(C267-C3)/C3</f>
        <v>-1</v>
      </c>
      <c r="L267" s="36">
        <f>(D267-D3)/D3</f>
        <v>-1</v>
      </c>
      <c r="M267" s="36" t="e">
        <f>(F267-F10)/F10</f>
        <v>#REF!</v>
      </c>
      <c r="N267" s="36" t="e">
        <f>(G267-#REF!)/#REF!</f>
        <v>#REF!</v>
      </c>
      <c r="O267" s="36" t="e">
        <f>(H267-#REF!)/#REF!</f>
        <v>#REF!</v>
      </c>
      <c r="P267" s="36" t="e">
        <f>(I267-#REF!)/#REF!</f>
        <v>#REF!</v>
      </c>
      <c r="Q267" s="36"/>
    </row>
    <row r="268" spans="6:17"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</row>
    <row r="269" spans="6:17"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</row>
    <row r="270" spans="6:17"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</row>
    <row r="271" spans="6:17"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</row>
    <row r="272" spans="6:17"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</row>
    <row r="273" spans="6:17"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</row>
    <row r="274" spans="6:17"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</row>
    <row r="275" spans="6:17"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</row>
    <row r="276" spans="6:17"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</row>
    <row r="277" spans="6:17"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</row>
    <row r="278" spans="6:17"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</row>
    <row r="279" spans="6:17"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</row>
    <row r="280" spans="6:17"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</row>
    <row r="281" spans="6:17"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</row>
    <row r="282" spans="6:17"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</row>
    <row r="283" spans="6:17"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</row>
    <row r="284" spans="6:17"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</row>
    <row r="285" spans="6:17"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</row>
    <row r="286" spans="6:17"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</row>
    <row r="287" spans="6:17"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</row>
    <row r="288" spans="6:17"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</row>
    <row r="289" spans="6:17"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</row>
    <row r="290" spans="6:17"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</row>
    <row r="291" spans="6:17"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</row>
    <row r="292" spans="6:17"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</row>
    <row r="293" spans="6:17"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</row>
    <row r="294" spans="6:17"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</row>
    <row r="295" spans="6:17"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</row>
    <row r="296" spans="6:17"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</row>
    <row r="297" spans="6:17"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</row>
    <row r="298" spans="6:17"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</row>
    <row r="299" spans="6:17"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</row>
    <row r="300" spans="6:17"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</row>
    <row r="301" spans="6:17"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</row>
    <row r="302" spans="6:17"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</row>
    <row r="303" spans="6:17"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</row>
    <row r="304" spans="6:17"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</row>
    <row r="305" spans="6:17"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</row>
    <row r="306" spans="6:17"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</row>
    <row r="307" spans="6:17"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</row>
    <row r="308" spans="6:17"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</row>
    <row r="309" spans="6:17"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</row>
    <row r="310" spans="6:17"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</row>
    <row r="311" spans="6:17"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</row>
    <row r="312" spans="6:17"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</row>
    <row r="313" spans="6:17"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</row>
    <row r="314" spans="6:17"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</row>
    <row r="315" spans="6:17"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</row>
    <row r="316" spans="6:17"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</row>
    <row r="317" spans="6:17"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</row>
    <row r="318" spans="6:17"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</row>
    <row r="319" spans="6:17"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</row>
    <row r="320" spans="6:17"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</row>
    <row r="321" spans="6:17"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</row>
    <row r="322" spans="6:17"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</row>
    <row r="323" spans="6:17"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</row>
    <row r="324" spans="6:17"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</row>
    <row r="325" spans="6:17"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</row>
    <row r="326" spans="6:17"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</row>
    <row r="327" spans="6:17"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</row>
    <row r="328" spans="6:17"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</row>
    <row r="329" spans="6:17"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</row>
    <row r="330" spans="6:17"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</row>
    <row r="331" spans="6:17"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</row>
    <row r="332" spans="6:17"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</row>
    <row r="333" spans="6:17"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</row>
    <row r="334" spans="6:17"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</row>
    <row r="335" spans="6:17"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</row>
    <row r="336" spans="6:17"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</row>
    <row r="337" spans="6:17"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</row>
    <row r="338" spans="6:17"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</row>
    <row r="339" spans="6:17"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</row>
    <row r="340" spans="6:17"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</row>
    <row r="341" spans="6:17"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</row>
    <row r="342" spans="6:17"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</row>
    <row r="343" spans="6:17"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</row>
    <row r="344" spans="6:17"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</row>
    <row r="345" spans="6:17"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</row>
    <row r="346" spans="6:17"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</row>
    <row r="347" spans="6:17"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</row>
    <row r="348" spans="6:17"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</row>
    <row r="349" spans="6:17"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</row>
    <row r="350" spans="6:17"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</row>
    <row r="351" spans="6:17"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</row>
    <row r="352" spans="6:17"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</row>
    <row r="353" spans="6:17"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</row>
    <row r="354" spans="6:17"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</row>
    <row r="355" spans="6:17"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</row>
    <row r="356" spans="6:17"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</row>
    <row r="357" spans="6:17"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</row>
    <row r="358" spans="6:17"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</row>
    <row r="359" spans="6:17"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</row>
    <row r="360" spans="6:17"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</row>
    <row r="361" spans="6:17"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</row>
    <row r="362" spans="6:17"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</row>
    <row r="363" spans="6:17"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</row>
    <row r="364" spans="6:17"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</row>
    <row r="365" spans="6:17"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</row>
    <row r="366" spans="6:17"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</row>
    <row r="367" spans="6:17"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</row>
    <row r="368" spans="6:17"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</row>
    <row r="369" spans="6:17"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</row>
    <row r="370" spans="6:17"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</row>
    <row r="371" spans="6:17"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</row>
    <row r="372" spans="6:17"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</row>
    <row r="373" spans="6:17"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</row>
    <row r="374" spans="6:17"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</row>
    <row r="375" spans="6:17"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</row>
    <row r="376" spans="6:17"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</row>
    <row r="377" spans="6:17"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</row>
    <row r="378" spans="6:17"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</row>
    <row r="379" spans="6:17"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</row>
    <row r="380" spans="6:17"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</row>
    <row r="381" spans="6:17"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</row>
    <row r="382" spans="6:17"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</row>
    <row r="383" spans="6:17"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</row>
    <row r="384" spans="6:17"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</row>
    <row r="385" spans="6:17"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</row>
    <row r="386" spans="6:17"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</row>
    <row r="387" spans="6:17"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</row>
    <row r="388" spans="6:17"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</row>
    <row r="389" spans="6:17"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</row>
    <row r="390" spans="6:17"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</row>
    <row r="391" spans="6:17"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</row>
    <row r="392" spans="6:17"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</row>
    <row r="393" spans="6:17"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</row>
    <row r="394" spans="6:17"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</row>
    <row r="395" spans="6:17"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</row>
    <row r="396" spans="6:17"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</row>
    <row r="397" spans="6:17"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</row>
    <row r="398" spans="6:17"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</row>
    <row r="399" spans="6:17"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</row>
    <row r="400" spans="6:17"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</row>
    <row r="401" spans="6:17"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</row>
    <row r="402" spans="6:17"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</row>
    <row r="403" spans="6:17"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</row>
    <row r="404" spans="6:17"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</row>
    <row r="405" spans="6:17"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</row>
    <row r="406" spans="6:17"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</row>
    <row r="407" spans="6:17"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</row>
    <row r="408" spans="6:17"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</row>
    <row r="409" spans="6:17"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</row>
    <row r="410" spans="6:17"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</row>
    <row r="411" spans="6:17"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</row>
    <row r="412" spans="6:17"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</row>
    <row r="413" spans="6:17"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</row>
    <row r="414" spans="6:17"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</row>
    <row r="415" spans="6:17"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</row>
    <row r="416" spans="6:17"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</row>
    <row r="417" spans="6:17"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</row>
    <row r="418" spans="6:17"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</row>
    <row r="419" spans="6:17"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</row>
    <row r="420" spans="6:17"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</row>
    <row r="421" spans="6:17"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</row>
    <row r="422" spans="6:17"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</row>
    <row r="423" spans="6:17"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</row>
    <row r="424" spans="6:17"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</row>
    <row r="425" spans="6:17"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</row>
    <row r="426" spans="6:17"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</row>
    <row r="427" spans="6:17"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</row>
    <row r="428" spans="6:17"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</row>
    <row r="429" spans="6:17"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</row>
    <row r="430" spans="6:17"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</row>
    <row r="431" spans="6:17"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</row>
    <row r="432" spans="6:17"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</row>
    <row r="433" spans="6:17"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</row>
    <row r="434" spans="6:17"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</row>
    <row r="435" spans="6:17"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</row>
    <row r="436" spans="6:17"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</row>
    <row r="437" spans="6:17"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</row>
    <row r="438" spans="6:17"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</row>
    <row r="439" spans="6:17"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</row>
    <row r="440" spans="6:17"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</row>
    <row r="441" spans="6:17"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</row>
    <row r="442" spans="6:17"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</row>
    <row r="443" spans="6:17"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</row>
    <row r="444" spans="6:17"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</row>
    <row r="445" spans="6:17"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</row>
    <row r="446" spans="6:17"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</row>
    <row r="447" spans="6:17"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</row>
    <row r="448" spans="6:17"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</row>
    <row r="449" spans="6:17"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</row>
    <row r="450" spans="6:17"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</row>
    <row r="451" spans="6:17"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</row>
    <row r="452" spans="6:17"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</row>
    <row r="453" spans="6:17"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</row>
    <row r="454" spans="6:17"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</row>
    <row r="455" spans="6:17"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</row>
    <row r="456" spans="6:17"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</row>
    <row r="457" spans="6:17"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</row>
    <row r="458" spans="6:17"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</row>
    <row r="459" spans="6:17"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</row>
    <row r="460" spans="6:17"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</row>
    <row r="461" spans="6:17"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</row>
    <row r="462" spans="6:17"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</row>
    <row r="463" spans="6:17"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</row>
    <row r="464" spans="6:17"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</row>
    <row r="465" spans="6:17"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</row>
    <row r="466" spans="6:17"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</row>
    <row r="467" spans="6:17"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</row>
    <row r="468" spans="6:17"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</row>
    <row r="469" spans="6:17"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</row>
    <row r="470" spans="6:17"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</row>
    <row r="471" spans="6:17"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</row>
    <row r="472" spans="6:17"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</row>
    <row r="473" spans="6:17"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</row>
    <row r="474" spans="6:17"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</row>
    <row r="475" spans="6:17"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</row>
    <row r="476" spans="6:17"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</row>
    <row r="477" spans="6:17"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</row>
    <row r="478" spans="6:17"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</row>
    <row r="479" spans="6:17"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</row>
    <row r="480" spans="6:17"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</row>
    <row r="481" spans="6:17"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</row>
    <row r="482" spans="6:17"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</row>
    <row r="483" spans="6:17"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</row>
    <row r="484" spans="6:17"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</row>
    <row r="485" spans="6:17"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</row>
    <row r="486" spans="6:17"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</row>
    <row r="487" spans="6:17"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</row>
    <row r="488" spans="6:17"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</row>
    <row r="489" spans="6:17"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</row>
    <row r="490" spans="6:17"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</row>
    <row r="491" spans="6:17"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</row>
    <row r="492" spans="6:17"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</row>
    <row r="493" spans="6:17"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</row>
    <row r="494" spans="6:17"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</row>
    <row r="495" spans="6:17"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</row>
    <row r="496" spans="6:17"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</row>
    <row r="497" spans="6:17"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</row>
    <row r="498" spans="6:17"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</row>
    <row r="499" spans="6:17"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</row>
    <row r="500" spans="6:17"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</row>
    <row r="501" spans="6:17"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</row>
    <row r="502" spans="6:17"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</row>
    <row r="503" spans="6:17"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</row>
    <row r="504" spans="6:17"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</row>
    <row r="505" spans="6:17"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</row>
    <row r="506" spans="6:17"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</row>
    <row r="507" spans="6:17"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</row>
    <row r="508" spans="6:17"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</row>
    <row r="509" spans="6:17"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</row>
    <row r="510" spans="6:17"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</row>
    <row r="511" spans="6:17">
      <c r="F511" s="36" t="e">
        <f>(#REF!-#REF!)/#REF!</f>
        <v>#REF!</v>
      </c>
      <c r="G511" s="36" t="e">
        <f>(#REF!-#REF!)/#REF!</f>
        <v>#REF!</v>
      </c>
      <c r="H511" s="36" t="e">
        <f>(#REF!-#REF!)/#REF!</f>
        <v>#REF!</v>
      </c>
      <c r="I511" s="36" t="e">
        <f>(#REF!-#REF!)/#REF!</f>
        <v>#REF!</v>
      </c>
      <c r="J511" s="36" t="e">
        <f>(#REF!-#REF!)/#REF!</f>
        <v>#REF!</v>
      </c>
      <c r="K511" s="36" t="e">
        <f>(C511-C267)/C267</f>
        <v>#DIV/0!</v>
      </c>
      <c r="L511" s="36" t="e">
        <f>(D511-D267)/D267</f>
        <v>#DIV/0!</v>
      </c>
      <c r="M511" s="36" t="e">
        <f>(F511-F267)/F267</f>
        <v>#REF!</v>
      </c>
      <c r="N511" s="36" t="e">
        <f>(G511-G267)/G267</f>
        <v>#REF!</v>
      </c>
      <c r="O511" s="36" t="e">
        <f>(H511-H267)/H267</f>
        <v>#REF!</v>
      </c>
      <c r="P511" s="36" t="e">
        <f>(I511-I267)/I267</f>
        <v>#REF!</v>
      </c>
      <c r="Q511" s="36"/>
    </row>
    <row r="512" spans="6:17"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</row>
    <row r="513" spans="6:17"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</row>
    <row r="514" spans="6:17"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</row>
    <row r="515" spans="6:17"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</row>
    <row r="516" spans="6:17"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</row>
    <row r="517" spans="6:17"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</row>
    <row r="518" spans="6:17"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</row>
    <row r="519" spans="6:17"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</row>
    <row r="520" spans="6:17"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</row>
    <row r="521" spans="6:17"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</row>
    <row r="522" spans="6:17"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</row>
    <row r="523" spans="6:17"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</row>
    <row r="524" spans="6:17"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</row>
    <row r="525" spans="6:17"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</row>
    <row r="526" spans="6:17"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</row>
    <row r="527" spans="6:17"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</row>
    <row r="528" spans="6:17"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</row>
    <row r="529" spans="6:17"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</row>
    <row r="530" spans="6:17"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</row>
    <row r="531" spans="6:17"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</row>
    <row r="532" spans="6:17"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</row>
    <row r="533" spans="6:17"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</row>
    <row r="534" spans="6:17"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</row>
    <row r="535" spans="6:17"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</row>
    <row r="536" spans="6:17"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</row>
    <row r="537" spans="6:17"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</row>
    <row r="538" spans="6:17"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</row>
    <row r="539" spans="6:17"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</row>
    <row r="540" spans="6:17"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</row>
    <row r="541" spans="6:17"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</row>
    <row r="542" spans="6:17"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</row>
    <row r="543" spans="6:17"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</row>
    <row r="544" spans="6:17"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</row>
    <row r="545" spans="6:17"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</row>
    <row r="546" spans="6:17"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</row>
    <row r="547" spans="6:17"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</row>
    <row r="548" spans="6:17"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</row>
    <row r="549" spans="6:17"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</row>
    <row r="550" spans="6:17"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</row>
    <row r="551" spans="6:17"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</row>
    <row r="552" spans="6:17"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</row>
    <row r="553" spans="6:17"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</row>
    <row r="554" spans="6:17"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</row>
    <row r="555" spans="6:17"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</row>
    <row r="556" spans="6:17"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</row>
    <row r="557" spans="6:17"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</row>
    <row r="558" spans="6:17"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</row>
    <row r="559" spans="6:17"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</row>
    <row r="560" spans="6:17"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</row>
    <row r="561" spans="6:17"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</row>
    <row r="562" spans="6:17"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</row>
    <row r="563" spans="6:17"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</row>
    <row r="564" spans="6:17"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</row>
    <row r="565" spans="6:17"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</row>
    <row r="566" spans="6:17"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</row>
    <row r="567" spans="6:17"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</row>
    <row r="568" spans="6:17"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</row>
    <row r="569" spans="6:17"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</row>
    <row r="570" spans="6:17"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</row>
    <row r="571" spans="6:17"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</row>
    <row r="572" spans="6:17"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</row>
    <row r="573" spans="6:17"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</row>
    <row r="574" spans="6:17"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</row>
    <row r="575" spans="6:17"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</row>
    <row r="576" spans="6:17"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</row>
    <row r="577" spans="6:17"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</row>
    <row r="578" spans="6:17"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</row>
    <row r="579" spans="6:17"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</row>
    <row r="580" spans="6:17"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</row>
    <row r="581" spans="6:17"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</row>
    <row r="582" spans="6:17"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</row>
    <row r="583" spans="6:17"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</row>
    <row r="584" spans="6:17"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</row>
    <row r="585" spans="6:17"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</row>
    <row r="586" spans="6:17"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</row>
    <row r="587" spans="6:17"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</row>
    <row r="588" spans="6:17"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</row>
    <row r="589" spans="6:17"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</row>
    <row r="590" spans="6:17"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</row>
    <row r="591" spans="6:17"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</row>
    <row r="592" spans="6:17"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</row>
    <row r="593" spans="6:17"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</row>
    <row r="594" spans="6:17"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</row>
    <row r="595" spans="6:17"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</row>
    <row r="596" spans="6:17"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</row>
    <row r="597" spans="6:17"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</row>
    <row r="598" spans="6:17"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</row>
    <row r="599" spans="6:17"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</row>
    <row r="600" spans="6:17"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</row>
    <row r="601" spans="6:17"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</row>
    <row r="602" spans="6:17"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</row>
    <row r="603" spans="6:17"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</row>
    <row r="604" spans="6:17"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</row>
    <row r="605" spans="6:17"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</row>
    <row r="606" spans="6:17"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</row>
    <row r="607" spans="6:17"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</row>
    <row r="608" spans="6:17"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</row>
    <row r="609" spans="6:17"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</row>
    <row r="610" spans="6:17"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</row>
    <row r="611" spans="6:17"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</row>
    <row r="612" spans="6:17"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</row>
    <row r="613" spans="6:17"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</row>
    <row r="614" spans="6:17"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</row>
    <row r="615" spans="6:17"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</row>
    <row r="616" spans="6:17"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</row>
    <row r="617" spans="6:17"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</row>
    <row r="618" spans="6:17"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</row>
    <row r="619" spans="6:17"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</row>
    <row r="620" spans="6:17"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</row>
    <row r="621" spans="6:17"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</row>
    <row r="622" spans="6:17"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</row>
    <row r="623" spans="6:17"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</row>
    <row r="624" spans="6:17"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</row>
    <row r="625" spans="6:17"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</row>
    <row r="626" spans="6:17"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</row>
    <row r="627" spans="6:17"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</row>
    <row r="628" spans="6:17"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</row>
    <row r="629" spans="6:17"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</row>
    <row r="630" spans="6:17"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</row>
    <row r="631" spans="6:17"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</row>
    <row r="632" spans="6:17"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</row>
    <row r="633" spans="6:17"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</row>
    <row r="634" spans="6:17"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</row>
    <row r="635" spans="6:17"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</row>
    <row r="636" spans="6:17"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</row>
    <row r="637" spans="6:17"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</row>
    <row r="638" spans="6:17"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</row>
    <row r="639" spans="6:17"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</row>
    <row r="640" spans="6:17"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</row>
    <row r="641" spans="6:17"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</row>
    <row r="642" spans="6:17"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</row>
    <row r="643" spans="6:17"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</row>
    <row r="644" spans="6:17"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</row>
    <row r="645" spans="6:17"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</row>
    <row r="646" spans="6:17"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</row>
    <row r="647" spans="6:17"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</row>
    <row r="648" spans="6:17"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</row>
    <row r="649" spans="6:17"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</row>
    <row r="650" spans="6:17"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</row>
    <row r="651" spans="6:17"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</row>
    <row r="652" spans="6:17"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</row>
    <row r="653" spans="6:17"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</row>
    <row r="654" spans="6:17"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</row>
    <row r="655" spans="6:17"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</row>
    <row r="656" spans="6:17"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</row>
    <row r="657" spans="6:17"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</row>
    <row r="658" spans="6:17"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</row>
    <row r="659" spans="6:17"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</row>
    <row r="660" spans="6:17"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</row>
    <row r="661" spans="6:17"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</row>
    <row r="662" spans="6:17"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</row>
    <row r="663" spans="6:17"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</row>
    <row r="664" spans="6:17"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</row>
    <row r="665" spans="6:17"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</row>
    <row r="666" spans="6:17"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</row>
    <row r="667" spans="6:17"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</row>
    <row r="668" spans="6:17"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</row>
    <row r="669" spans="6:17"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</row>
    <row r="670" spans="6:17"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</row>
    <row r="671" spans="6:17"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</row>
    <row r="672" spans="6:17"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</row>
    <row r="673" spans="6:17"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</row>
    <row r="674" spans="6:17"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</row>
    <row r="675" spans="6:17"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</row>
    <row r="676" spans="6:17"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</row>
    <row r="677" spans="6:17"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</row>
    <row r="678" spans="6:17"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</row>
    <row r="679" spans="6:17"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</row>
    <row r="680" spans="6:17"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</row>
    <row r="681" spans="6:17"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</row>
    <row r="682" spans="6:17"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</row>
    <row r="683" spans="6:17"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</row>
    <row r="684" spans="6:17"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</row>
    <row r="685" spans="6:17"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</row>
    <row r="686" spans="6:17"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</row>
    <row r="687" spans="6:17"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</row>
    <row r="688" spans="6:17"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</row>
    <row r="689" spans="6:17"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</row>
    <row r="690" spans="6:17"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</row>
    <row r="691" spans="6:17"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</row>
    <row r="692" spans="6:17"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</row>
    <row r="693" spans="6:17"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</row>
    <row r="694" spans="6:17"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</row>
    <row r="695" spans="6:17"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</row>
    <row r="696" spans="6:17"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</row>
    <row r="697" spans="6:17"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</row>
    <row r="698" spans="6:17"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</row>
    <row r="699" spans="6:17"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</row>
    <row r="700" spans="6:17"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</row>
    <row r="701" spans="6:17"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</row>
    <row r="702" spans="6:17"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</row>
    <row r="703" spans="6:17"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</row>
    <row r="704" spans="6:17"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</row>
    <row r="705" spans="6:17"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</row>
    <row r="706" spans="6:17"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</row>
    <row r="707" spans="6:17"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</row>
    <row r="708" spans="6:17"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</row>
    <row r="709" spans="6:17"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</row>
    <row r="710" spans="6:17"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</row>
    <row r="711" spans="6:17"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</row>
    <row r="712" spans="6:17"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</row>
    <row r="713" spans="6:17"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</row>
    <row r="714" spans="6:17"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</row>
    <row r="715" spans="6:17"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</row>
    <row r="716" spans="6:17"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</row>
    <row r="717" spans="6:17"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</row>
    <row r="718" spans="6:17"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</row>
    <row r="719" spans="6:17"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</row>
    <row r="720" spans="6:17"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</row>
    <row r="721" spans="6:17"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</row>
    <row r="722" spans="6:17"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</row>
    <row r="723" spans="6:17"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</row>
    <row r="724" spans="6:17"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</row>
    <row r="725" spans="6:17"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</row>
    <row r="726" spans="6:17"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</row>
    <row r="727" spans="6:17"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</row>
    <row r="728" spans="6:17"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</row>
    <row r="729" spans="6:17"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</row>
    <row r="730" spans="6:17"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</row>
    <row r="731" spans="6:17"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</row>
    <row r="732" spans="6:17"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</row>
    <row r="733" spans="6:17"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</row>
    <row r="734" spans="6:17"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</row>
    <row r="735" spans="6:17"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</row>
    <row r="736" spans="6:17"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</row>
    <row r="737" spans="6:17"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</row>
    <row r="738" spans="6:17"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</row>
    <row r="739" spans="6:17"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</row>
    <row r="740" spans="6:17"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</row>
    <row r="741" spans="6:17"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</row>
    <row r="742" spans="6:17"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</row>
    <row r="743" spans="6:17"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</row>
    <row r="744" spans="6:17"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</row>
    <row r="745" spans="6:17"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</row>
    <row r="746" spans="6:17"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</row>
    <row r="747" spans="6:17"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</row>
    <row r="748" spans="6:17"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</row>
    <row r="749" spans="6:17"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</row>
    <row r="750" spans="6:17"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</row>
    <row r="751" spans="6:17"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</row>
    <row r="752" spans="6:17"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</row>
    <row r="753" spans="6:17"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</row>
    <row r="754" spans="6:17">
      <c r="F754" s="36" t="e">
        <f>(#REF!-#REF!)/#REF!</f>
        <v>#REF!</v>
      </c>
      <c r="G754" s="36" t="e">
        <f>(#REF!-#REF!)/#REF!</f>
        <v>#REF!</v>
      </c>
      <c r="H754" s="36" t="e">
        <f>(#REF!-#REF!)/#REF!</f>
        <v>#REF!</v>
      </c>
      <c r="I754" s="36" t="e">
        <f>(#REF!-#REF!)/#REF!</f>
        <v>#REF!</v>
      </c>
      <c r="J754" s="36" t="e">
        <f>(#REF!-#REF!)/#REF!</f>
        <v>#REF!</v>
      </c>
      <c r="K754" s="36" t="e">
        <f>(C754-C511)/C511</f>
        <v>#DIV/0!</v>
      </c>
      <c r="L754" s="36" t="e">
        <f>(D754-D511)/D511</f>
        <v>#DIV/0!</v>
      </c>
      <c r="M754" s="36" t="e">
        <f>(F754-F511)/F511</f>
        <v>#REF!</v>
      </c>
      <c r="N754" s="36" t="e">
        <f>(G754-G511)/G511</f>
        <v>#REF!</v>
      </c>
      <c r="O754" s="36" t="e">
        <f>(H754-H511)/H511</f>
        <v>#REF!</v>
      </c>
      <c r="P754" s="36" t="e">
        <f>(I754-I511)/I511</f>
        <v>#REF!</v>
      </c>
      <c r="Q754" s="36"/>
    </row>
    <row r="755" spans="6:17"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</row>
    <row r="756" spans="6:17"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</row>
    <row r="757" spans="6:17"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</row>
    <row r="758" spans="6:17"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</row>
    <row r="759" spans="6:17"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</row>
    <row r="760" spans="6:17"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</row>
    <row r="761" spans="6:17"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</row>
    <row r="762" spans="6:17"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</row>
    <row r="763" spans="6:17"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</row>
    <row r="764" spans="6:17"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</row>
    <row r="765" spans="6:17"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</row>
    <row r="766" spans="6:17"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</row>
    <row r="767" spans="6:17"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</row>
    <row r="768" spans="6:17"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</row>
    <row r="769" spans="6:17"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</row>
    <row r="770" spans="6:17"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</row>
    <row r="771" spans="6:17"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</row>
    <row r="772" spans="6:17"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</row>
    <row r="773" spans="6:17"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</row>
    <row r="774" spans="6:17"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</row>
    <row r="775" spans="6:17"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</row>
    <row r="776" spans="6:17"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</row>
    <row r="777" spans="6:17"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</row>
    <row r="778" spans="6:17"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</row>
    <row r="779" spans="6:17"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</row>
    <row r="780" spans="6:17"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</row>
    <row r="781" spans="6:17"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</row>
    <row r="782" spans="6:17"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</row>
    <row r="783" spans="6:17"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</row>
    <row r="784" spans="6:17"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</row>
    <row r="785" spans="6:17"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</row>
    <row r="786" spans="6:17"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</row>
    <row r="787" spans="6:17"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</row>
    <row r="788" spans="6:17"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</row>
    <row r="789" spans="6:17"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</row>
    <row r="790" spans="6:17"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</row>
    <row r="791" spans="6:17"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</row>
    <row r="792" spans="6:17"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</row>
    <row r="793" spans="6:17"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</row>
    <row r="794" spans="6:17"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</row>
    <row r="795" spans="6:17"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</row>
    <row r="796" spans="6:17"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</row>
    <row r="797" spans="6:17"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</row>
    <row r="798" spans="6:17"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</row>
    <row r="799" spans="6:17"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</row>
    <row r="800" spans="6:17"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</row>
    <row r="801" spans="6:17"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</row>
    <row r="802" spans="6:17"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</row>
    <row r="803" spans="6:17"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</row>
    <row r="804" spans="6:17"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</row>
    <row r="805" spans="6:17"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</row>
    <row r="806" spans="6:17"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</row>
    <row r="807" spans="6:17"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</row>
    <row r="808" spans="6:17"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</row>
    <row r="809" spans="6:17"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</row>
    <row r="810" spans="6:17"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</row>
    <row r="811" spans="6:17"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</row>
    <row r="812" spans="6:17"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</row>
    <row r="813" spans="6:17"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</row>
    <row r="814" spans="6:17"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</row>
    <row r="815" spans="6:17"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</row>
    <row r="816" spans="6:17"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</row>
    <row r="817" spans="6:17"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</row>
    <row r="818" spans="6:17"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</row>
    <row r="819" spans="6:17"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</row>
    <row r="820" spans="6:17"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</row>
    <row r="821" spans="6:17"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</row>
    <row r="822" spans="6:17"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</row>
    <row r="823" spans="6:17"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</row>
    <row r="824" spans="6:17"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</row>
    <row r="825" spans="6:17"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</row>
    <row r="826" spans="6:17"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</row>
    <row r="827" spans="6:17"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</row>
    <row r="828" spans="6:17"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</row>
    <row r="829" spans="6:17"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</row>
    <row r="830" spans="6:17"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</row>
    <row r="831" spans="6:17"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</row>
    <row r="832" spans="6:17"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</row>
    <row r="833" spans="6:17"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</row>
    <row r="834" spans="6:17"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</row>
    <row r="835" spans="6:17"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</row>
    <row r="836" spans="6:17"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</row>
    <row r="837" spans="6:17"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</row>
    <row r="838" spans="6:17"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</row>
    <row r="839" spans="6:17"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</row>
    <row r="840" spans="6:17"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</row>
    <row r="841" spans="6:17"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</row>
    <row r="842" spans="6:17"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</row>
    <row r="843" spans="6:17"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</row>
    <row r="844" spans="6:17"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</row>
    <row r="845" spans="6:17"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</row>
    <row r="846" spans="6:17"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</row>
    <row r="847" spans="6:17"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</row>
    <row r="848" spans="6:17"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</row>
    <row r="849" spans="6:17"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</row>
    <row r="850" spans="6:17"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</row>
    <row r="851" spans="6:17"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</row>
    <row r="852" spans="6:17"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</row>
    <row r="853" spans="6:17"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</row>
    <row r="854" spans="6:17"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</row>
    <row r="855" spans="6:17"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</row>
    <row r="856" spans="6:17"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</row>
    <row r="857" spans="6:17"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</row>
    <row r="858" spans="6:17"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</row>
    <row r="859" spans="6:17"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</row>
    <row r="860" spans="6:17"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</row>
    <row r="861" spans="6:17"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</row>
    <row r="862" spans="6:17"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</row>
    <row r="863" spans="6:17"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</row>
    <row r="864" spans="6:17"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</row>
    <row r="865" spans="6:17"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</row>
    <row r="866" spans="6:17"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</row>
    <row r="867" spans="6:17"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</row>
    <row r="868" spans="6:17"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</row>
    <row r="869" spans="6:17"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</row>
    <row r="870" spans="6:17"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</row>
    <row r="871" spans="6:17"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</row>
    <row r="872" spans="6:17"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</row>
    <row r="873" spans="6:17"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</row>
    <row r="874" spans="6:17"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</row>
    <row r="875" spans="6:17"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</row>
    <row r="876" spans="6:17"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</row>
    <row r="877" spans="6:17"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</row>
    <row r="878" spans="6:17"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</row>
    <row r="879" spans="6:17"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</row>
    <row r="880" spans="6:17"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</row>
    <row r="881" spans="6:17"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</row>
    <row r="882" spans="6:17"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</row>
    <row r="883" spans="6:17"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</row>
    <row r="884" spans="6:17"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</row>
    <row r="885" spans="6:17"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</row>
    <row r="886" spans="6:17"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</row>
    <row r="887" spans="6:17"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</row>
    <row r="888" spans="6:17"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</row>
    <row r="889" spans="6:17"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</row>
    <row r="890" spans="6:17"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</row>
    <row r="891" spans="6:17"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</row>
    <row r="892" spans="6:17"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</row>
    <row r="893" spans="6:17"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</row>
    <row r="894" spans="6:17"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</row>
    <row r="895" spans="6:17"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</row>
    <row r="896" spans="6:17"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</row>
    <row r="897" spans="6:17"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</row>
    <row r="898" spans="6:17"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</row>
    <row r="899" spans="6:17"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</row>
    <row r="900" spans="6:17"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</row>
    <row r="901" spans="6:17"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</row>
    <row r="902" spans="6:17"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</row>
    <row r="903" spans="6:17"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</row>
    <row r="904" spans="6:17"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</row>
    <row r="905" spans="6:17"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</row>
    <row r="906" spans="6:17"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</row>
    <row r="907" spans="6:17"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</row>
    <row r="908" spans="6:17"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</row>
    <row r="909" spans="6:17"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</row>
    <row r="910" spans="6:17"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</row>
    <row r="911" spans="6:17"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</row>
    <row r="912" spans="6:17"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</row>
    <row r="913" spans="6:17"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</row>
    <row r="914" spans="6:17"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</row>
    <row r="915" spans="6:17"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</row>
    <row r="916" spans="6:17"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</row>
    <row r="917" spans="6:17"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</row>
    <row r="918" spans="6:17"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</row>
    <row r="919" spans="6:17"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</row>
    <row r="920" spans="6:17"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</row>
    <row r="921" spans="6:17"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</row>
    <row r="922" spans="6:17"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</row>
    <row r="923" spans="6:17"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</row>
    <row r="924" spans="6:17"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</row>
    <row r="925" spans="6:17"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</row>
    <row r="926" spans="6:17"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</row>
    <row r="927" spans="6:17"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</row>
    <row r="928" spans="6:17"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</row>
    <row r="929" spans="6:17"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</row>
    <row r="930" spans="6:17"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</row>
    <row r="931" spans="6:17"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</row>
    <row r="932" spans="6:17"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</row>
    <row r="933" spans="6:17"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</row>
    <row r="934" spans="6:17"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</row>
    <row r="935" spans="6:17"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</row>
    <row r="936" spans="6:17"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</row>
    <row r="937" spans="6:17"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</row>
    <row r="938" spans="6:17"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</row>
    <row r="939" spans="6:17"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</row>
    <row r="940" spans="6:17"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</row>
    <row r="941" spans="6:17"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</row>
    <row r="942" spans="6:17"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</row>
    <row r="943" spans="6:17"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</row>
    <row r="944" spans="6:17"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</row>
    <row r="945" spans="6:17"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</row>
    <row r="946" spans="6:17"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</row>
    <row r="947" spans="6:17"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</row>
    <row r="948" spans="6:17"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</row>
    <row r="949" spans="6:17"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</row>
    <row r="950" spans="6:17"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</row>
    <row r="951" spans="6:17"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</row>
    <row r="952" spans="6:17"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</row>
    <row r="953" spans="6:17"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</row>
    <row r="954" spans="6:17"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</row>
    <row r="955" spans="6:17"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</row>
    <row r="956" spans="6:17"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</row>
    <row r="957" spans="6:17"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</row>
    <row r="958" spans="6:17"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</row>
    <row r="959" spans="6:17"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</row>
    <row r="960" spans="6:17"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</row>
    <row r="961" spans="6:17"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</row>
    <row r="962" spans="6:17"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</row>
    <row r="963" spans="6:17"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</row>
    <row r="964" spans="6:17"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</row>
    <row r="965" spans="6:17"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</row>
    <row r="966" spans="6:17"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</row>
    <row r="967" spans="6:17"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</row>
    <row r="968" spans="6:17"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</row>
    <row r="969" spans="6:17"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</row>
    <row r="970" spans="6:17"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</row>
    <row r="971" spans="6:17"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</row>
    <row r="972" spans="6:17"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</row>
    <row r="973" spans="6:17"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</row>
    <row r="974" spans="6:17"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</row>
    <row r="975" spans="6:17"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</row>
    <row r="976" spans="6:17"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</row>
    <row r="977" spans="6:17"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</row>
    <row r="978" spans="6:17"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</row>
    <row r="979" spans="6:17"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</row>
    <row r="980" spans="6:17"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</row>
    <row r="981" spans="6:17"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</row>
    <row r="982" spans="6:17"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</row>
    <row r="983" spans="6:17"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</row>
    <row r="984" spans="6:17"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</row>
    <row r="985" spans="6:17"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</row>
    <row r="986" spans="6:17"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</row>
    <row r="987" spans="6:17"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</row>
    <row r="988" spans="6:17"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</row>
    <row r="989" spans="6:17"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</row>
    <row r="990" spans="6:17"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</row>
    <row r="991" spans="6:17"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</row>
    <row r="992" spans="6:17"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</row>
    <row r="993" spans="6:17"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</row>
    <row r="994" spans="6:17"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</row>
    <row r="995" spans="6:17"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</row>
    <row r="996" spans="6:17"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</row>
    <row r="997" spans="6:17"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</row>
    <row r="998" spans="6:17">
      <c r="F998" s="36" t="e">
        <f>(#REF!-#REF!)/#REF!</f>
        <v>#REF!</v>
      </c>
      <c r="G998" s="36" t="e">
        <f>(#REF!-#REF!)/#REF!</f>
        <v>#REF!</v>
      </c>
      <c r="H998" s="36" t="e">
        <f>(#REF!-#REF!)/#REF!</f>
        <v>#REF!</v>
      </c>
      <c r="I998" s="36" t="e">
        <f>(#REF!-#REF!)/#REF!</f>
        <v>#REF!</v>
      </c>
      <c r="J998" s="36" t="e">
        <f>(#REF!-#REF!)/#REF!</f>
        <v>#REF!</v>
      </c>
      <c r="K998" s="36" t="e">
        <f>(C998-C754)/C754</f>
        <v>#DIV/0!</v>
      </c>
      <c r="L998" s="36" t="e">
        <f>(D998-D754)/D754</f>
        <v>#DIV/0!</v>
      </c>
      <c r="M998" s="36" t="e">
        <f>(F998-F754)/F754</f>
        <v>#REF!</v>
      </c>
      <c r="N998" s="36" t="e">
        <f>(G998-G754)/G754</f>
        <v>#REF!</v>
      </c>
      <c r="O998" s="36" t="e">
        <f>(H998-H754)/H754</f>
        <v>#REF!</v>
      </c>
      <c r="P998" s="36" t="e">
        <f>(I998-I754)/I754</f>
        <v>#REF!</v>
      </c>
      <c r="Q998" s="36"/>
    </row>
    <row r="999" spans="6:17"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</row>
    <row r="1000" spans="6:17"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</row>
    <row r="1001" spans="6:17"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</row>
    <row r="1002" spans="6:17"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</row>
    <row r="1003" spans="6:17"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</row>
    <row r="1004" spans="6:17"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</row>
    <row r="1005" spans="6:17"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</row>
    <row r="1006" spans="6:17"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</row>
    <row r="1007" spans="6:17"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</row>
    <row r="1008" spans="6:17"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</row>
    <row r="1009" spans="6:17"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</row>
    <row r="1010" spans="6:17"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</row>
    <row r="1011" spans="6:17"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</row>
    <row r="1012" spans="6:17"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</row>
    <row r="1013" spans="6:17">
      <c r="F1013" s="18"/>
      <c r="G1013" s="18"/>
      <c r="H1013" s="18"/>
      <c r="I1013" s="18"/>
      <c r="J1013" s="18"/>
      <c r="K1013" s="18"/>
      <c r="L1013" s="18"/>
      <c r="M1013" s="18"/>
      <c r="N1013" s="18"/>
      <c r="O1013" s="18"/>
      <c r="P1013" s="18"/>
      <c r="Q1013" s="18"/>
    </row>
    <row r="1014" spans="6:17">
      <c r="F1014" s="18"/>
      <c r="G1014" s="18"/>
      <c r="H1014" s="18"/>
      <c r="I1014" s="18"/>
      <c r="J1014" s="18"/>
      <c r="K1014" s="18"/>
      <c r="L1014" s="18"/>
      <c r="M1014" s="18"/>
      <c r="N1014" s="18"/>
      <c r="O1014" s="18"/>
      <c r="P1014" s="18"/>
      <c r="Q1014" s="18"/>
    </row>
    <row r="1015" spans="6:17">
      <c r="F1015" s="18"/>
      <c r="G1015" s="18"/>
      <c r="H1015" s="18"/>
      <c r="I1015" s="18"/>
      <c r="J1015" s="18"/>
      <c r="K1015" s="18"/>
      <c r="L1015" s="18"/>
      <c r="M1015" s="18"/>
      <c r="N1015" s="18"/>
      <c r="O1015" s="18"/>
      <c r="P1015" s="18"/>
      <c r="Q1015" s="18"/>
    </row>
    <row r="1016" spans="6:17">
      <c r="F1016" s="18"/>
      <c r="G1016" s="18"/>
      <c r="H1016" s="18"/>
      <c r="I1016" s="18"/>
      <c r="J1016" s="18"/>
      <c r="K1016" s="18"/>
      <c r="L1016" s="18"/>
      <c r="M1016" s="18"/>
      <c r="N1016" s="18"/>
      <c r="O1016" s="18"/>
      <c r="P1016" s="18"/>
      <c r="Q1016" s="18"/>
    </row>
    <row r="1017" spans="6:17">
      <c r="F1017" s="18"/>
      <c r="G1017" s="18"/>
      <c r="H1017" s="18"/>
      <c r="I1017" s="18"/>
      <c r="J1017" s="18"/>
      <c r="K1017" s="18"/>
      <c r="L1017" s="18"/>
      <c r="M1017" s="18"/>
      <c r="N1017" s="18"/>
      <c r="O1017" s="18"/>
      <c r="P1017" s="18"/>
      <c r="Q1017" s="18"/>
    </row>
    <row r="1018" spans="6:17">
      <c r="F1018" s="18"/>
      <c r="G1018" s="18"/>
      <c r="H1018" s="18"/>
      <c r="I1018" s="18"/>
      <c r="J1018" s="18"/>
      <c r="K1018" s="18"/>
      <c r="L1018" s="18"/>
      <c r="M1018" s="18"/>
      <c r="N1018" s="18"/>
      <c r="O1018" s="18"/>
      <c r="P1018" s="18"/>
      <c r="Q1018" s="18"/>
    </row>
    <row r="1019" spans="6:17">
      <c r="F1019" s="18"/>
      <c r="G1019" s="18"/>
      <c r="H1019" s="18"/>
      <c r="I1019" s="18"/>
      <c r="J1019" s="18"/>
      <c r="K1019" s="18"/>
      <c r="L1019" s="18"/>
      <c r="M1019" s="18"/>
      <c r="N1019" s="18"/>
      <c r="O1019" s="18"/>
      <c r="P1019" s="18"/>
      <c r="Q1019" s="18"/>
    </row>
    <row r="1020" spans="6:17">
      <c r="F1020" s="18"/>
      <c r="G1020" s="18"/>
      <c r="H1020" s="18"/>
      <c r="I1020" s="18"/>
      <c r="J1020" s="18"/>
      <c r="K1020" s="18"/>
      <c r="L1020" s="18"/>
      <c r="M1020" s="18"/>
      <c r="N1020" s="18"/>
      <c r="O1020" s="18"/>
      <c r="P1020" s="18"/>
      <c r="Q1020" s="18"/>
    </row>
    <row r="1021" spans="6:17">
      <c r="F1021" s="18"/>
      <c r="G1021" s="18"/>
      <c r="H1021" s="18"/>
      <c r="I1021" s="18"/>
      <c r="J1021" s="18"/>
      <c r="K1021" s="18"/>
      <c r="L1021" s="18"/>
      <c r="M1021" s="18"/>
      <c r="N1021" s="18"/>
      <c r="O1021" s="18"/>
      <c r="P1021" s="18"/>
      <c r="Q1021" s="18"/>
    </row>
    <row r="1022" spans="6:17">
      <c r="F1022" s="18"/>
      <c r="G1022" s="18"/>
      <c r="H1022" s="18"/>
      <c r="I1022" s="18"/>
      <c r="J1022" s="18"/>
      <c r="K1022" s="18"/>
      <c r="L1022" s="18"/>
      <c r="M1022" s="18"/>
      <c r="N1022" s="18"/>
      <c r="O1022" s="18"/>
      <c r="P1022" s="18"/>
      <c r="Q1022" s="18"/>
    </row>
    <row r="1023" spans="6:17">
      <c r="F1023" s="18"/>
      <c r="G1023" s="18"/>
      <c r="H1023" s="18"/>
      <c r="I1023" s="18"/>
      <c r="J1023" s="18"/>
      <c r="K1023" s="18"/>
      <c r="L1023" s="18"/>
      <c r="M1023" s="18"/>
      <c r="N1023" s="18"/>
      <c r="O1023" s="18"/>
      <c r="P1023" s="18"/>
      <c r="Q1023" s="18"/>
    </row>
    <row r="1024" spans="6:17">
      <c r="F1024" s="18"/>
      <c r="G1024" s="18"/>
      <c r="H1024" s="18"/>
      <c r="I1024" s="18"/>
      <c r="J1024" s="18"/>
      <c r="K1024" s="18"/>
      <c r="L1024" s="18"/>
      <c r="M1024" s="18"/>
      <c r="N1024" s="18"/>
      <c r="O1024" s="18"/>
      <c r="P1024" s="18"/>
      <c r="Q1024" s="18"/>
    </row>
    <row r="1025" spans="6:17">
      <c r="F1025" s="18"/>
      <c r="G1025" s="18"/>
      <c r="H1025" s="18"/>
      <c r="I1025" s="18"/>
      <c r="J1025" s="18"/>
      <c r="K1025" s="18"/>
      <c r="L1025" s="18"/>
      <c r="M1025" s="18"/>
      <c r="N1025" s="18"/>
      <c r="O1025" s="18"/>
      <c r="P1025" s="18"/>
      <c r="Q1025" s="18"/>
    </row>
    <row r="1026" spans="6:17">
      <c r="F1026" s="18"/>
      <c r="G1026" s="18"/>
      <c r="H1026" s="18"/>
      <c r="I1026" s="18"/>
      <c r="J1026" s="18"/>
      <c r="K1026" s="18"/>
      <c r="L1026" s="18"/>
      <c r="M1026" s="18"/>
      <c r="N1026" s="18"/>
      <c r="O1026" s="18"/>
      <c r="P1026" s="18"/>
      <c r="Q1026" s="18"/>
    </row>
    <row r="1027" spans="6:17">
      <c r="F1027" s="18"/>
      <c r="G1027" s="18"/>
      <c r="H1027" s="18"/>
      <c r="I1027" s="18"/>
      <c r="J1027" s="18"/>
      <c r="K1027" s="18"/>
      <c r="L1027" s="18"/>
      <c r="M1027" s="18"/>
      <c r="N1027" s="18"/>
      <c r="O1027" s="18"/>
      <c r="P1027" s="18"/>
      <c r="Q1027" s="18"/>
    </row>
    <row r="1028" spans="6:17">
      <c r="F1028" s="18"/>
      <c r="G1028" s="18"/>
      <c r="H1028" s="18"/>
      <c r="I1028" s="18"/>
      <c r="J1028" s="18"/>
      <c r="K1028" s="18"/>
      <c r="L1028" s="18"/>
      <c r="M1028" s="18"/>
      <c r="N1028" s="18"/>
      <c r="O1028" s="18"/>
      <c r="P1028" s="18"/>
      <c r="Q1028" s="18"/>
    </row>
    <row r="1029" spans="6:17">
      <c r="F1029" s="18"/>
      <c r="G1029" s="18"/>
      <c r="H1029" s="18"/>
      <c r="I1029" s="18"/>
      <c r="J1029" s="18"/>
      <c r="K1029" s="18"/>
      <c r="L1029" s="18"/>
      <c r="M1029" s="18"/>
      <c r="N1029" s="18"/>
      <c r="O1029" s="18"/>
      <c r="P1029" s="18"/>
      <c r="Q1029" s="18"/>
    </row>
    <row r="1030" spans="6:17">
      <c r="F1030" s="18"/>
      <c r="G1030" s="18"/>
      <c r="H1030" s="18"/>
      <c r="I1030" s="18"/>
      <c r="J1030" s="18"/>
      <c r="K1030" s="18"/>
      <c r="L1030" s="18"/>
      <c r="M1030" s="18"/>
      <c r="N1030" s="18"/>
      <c r="O1030" s="18"/>
      <c r="P1030" s="18"/>
      <c r="Q1030" s="18"/>
    </row>
    <row r="1031" spans="6:17">
      <c r="F1031" s="18"/>
      <c r="G1031" s="18"/>
      <c r="H1031" s="18"/>
      <c r="I1031" s="18"/>
      <c r="J1031" s="18"/>
      <c r="K1031" s="18"/>
      <c r="L1031" s="18"/>
      <c r="M1031" s="18"/>
      <c r="N1031" s="18"/>
      <c r="O1031" s="18"/>
      <c r="P1031" s="18"/>
      <c r="Q1031" s="18"/>
    </row>
    <row r="1032" spans="6:17">
      <c r="F1032" s="18"/>
      <c r="G1032" s="18"/>
      <c r="H1032" s="18"/>
      <c r="I1032" s="18"/>
      <c r="J1032" s="18"/>
      <c r="K1032" s="18"/>
      <c r="L1032" s="18"/>
      <c r="M1032" s="18"/>
      <c r="N1032" s="18"/>
      <c r="O1032" s="18"/>
      <c r="P1032" s="18"/>
      <c r="Q1032" s="18"/>
    </row>
    <row r="1033" spans="6:17">
      <c r="F1033" s="18"/>
      <c r="G1033" s="18"/>
      <c r="H1033" s="18"/>
      <c r="I1033" s="18"/>
      <c r="J1033" s="18"/>
      <c r="K1033" s="18"/>
      <c r="L1033" s="18"/>
      <c r="M1033" s="18"/>
      <c r="N1033" s="18"/>
      <c r="O1033" s="18"/>
      <c r="P1033" s="18"/>
      <c r="Q1033" s="18"/>
    </row>
    <row r="1034" spans="6:17">
      <c r="F1034" s="18"/>
      <c r="G1034" s="18"/>
      <c r="H1034" s="18"/>
      <c r="I1034" s="18"/>
      <c r="J1034" s="18"/>
      <c r="K1034" s="18"/>
      <c r="L1034" s="18"/>
      <c r="M1034" s="18"/>
      <c r="N1034" s="18"/>
      <c r="O1034" s="18"/>
      <c r="P1034" s="18"/>
      <c r="Q1034" s="18"/>
    </row>
    <row r="1035" spans="6:17">
      <c r="F1035" s="18"/>
      <c r="G1035" s="18"/>
      <c r="H1035" s="18"/>
      <c r="I1035" s="18"/>
      <c r="J1035" s="18"/>
      <c r="K1035" s="18"/>
      <c r="L1035" s="18"/>
      <c r="M1035" s="18"/>
      <c r="N1035" s="18"/>
      <c r="O1035" s="18"/>
      <c r="P1035" s="18"/>
      <c r="Q1035" s="18"/>
    </row>
    <row r="1036" spans="6:17">
      <c r="F1036" s="18"/>
      <c r="G1036" s="18"/>
      <c r="H1036" s="18"/>
      <c r="I1036" s="18"/>
      <c r="J1036" s="18"/>
      <c r="K1036" s="18"/>
      <c r="L1036" s="18"/>
      <c r="M1036" s="18"/>
      <c r="N1036" s="18"/>
      <c r="O1036" s="18"/>
      <c r="P1036" s="18"/>
      <c r="Q1036" s="18"/>
    </row>
    <row r="1037" spans="6:17">
      <c r="F1037" s="18"/>
      <c r="G1037" s="18"/>
      <c r="H1037" s="18"/>
      <c r="I1037" s="18"/>
      <c r="J1037" s="18"/>
      <c r="K1037" s="18"/>
      <c r="L1037" s="18"/>
      <c r="M1037" s="18"/>
      <c r="N1037" s="18"/>
      <c r="O1037" s="18"/>
      <c r="P1037" s="18"/>
      <c r="Q1037" s="18"/>
    </row>
    <row r="1038" spans="6:17">
      <c r="F1038" s="18"/>
      <c r="G1038" s="18"/>
      <c r="H1038" s="18"/>
      <c r="I1038" s="18"/>
      <c r="J1038" s="18"/>
      <c r="K1038" s="18"/>
      <c r="L1038" s="18"/>
      <c r="M1038" s="18"/>
      <c r="N1038" s="18"/>
      <c r="O1038" s="18"/>
      <c r="P1038" s="18"/>
      <c r="Q1038" s="18"/>
    </row>
    <row r="1039" spans="6:17">
      <c r="F1039" s="18"/>
      <c r="G1039" s="18"/>
      <c r="H1039" s="18"/>
      <c r="I1039" s="18"/>
      <c r="J1039" s="18"/>
      <c r="K1039" s="18"/>
      <c r="L1039" s="18"/>
      <c r="M1039" s="18"/>
      <c r="N1039" s="18"/>
      <c r="O1039" s="18"/>
      <c r="P1039" s="18"/>
      <c r="Q1039" s="18"/>
    </row>
    <row r="1040" spans="6:17">
      <c r="F1040" s="18"/>
      <c r="G1040" s="18"/>
      <c r="H1040" s="18"/>
      <c r="I1040" s="18"/>
      <c r="J1040" s="18"/>
      <c r="K1040" s="18"/>
      <c r="L1040" s="18"/>
      <c r="M1040" s="18"/>
      <c r="N1040" s="18"/>
      <c r="O1040" s="18"/>
      <c r="P1040" s="18"/>
      <c r="Q1040" s="18"/>
    </row>
    <row r="1041" spans="6:17">
      <c r="F1041" s="18"/>
      <c r="G1041" s="18"/>
      <c r="H1041" s="18"/>
      <c r="I1041" s="18"/>
      <c r="J1041" s="18"/>
      <c r="K1041" s="18"/>
      <c r="L1041" s="18"/>
      <c r="M1041" s="18"/>
      <c r="N1041" s="18"/>
      <c r="O1041" s="18"/>
      <c r="P1041" s="18"/>
      <c r="Q1041" s="18"/>
    </row>
    <row r="1042" spans="6:17">
      <c r="F1042" s="18"/>
      <c r="G1042" s="18"/>
      <c r="H1042" s="18"/>
      <c r="I1042" s="18"/>
      <c r="J1042" s="18"/>
      <c r="K1042" s="18"/>
      <c r="L1042" s="18"/>
      <c r="M1042" s="18"/>
      <c r="N1042" s="18"/>
      <c r="O1042" s="18"/>
      <c r="P1042" s="18"/>
      <c r="Q1042" s="18"/>
    </row>
    <row r="1043" spans="6:17">
      <c r="F1043" s="18"/>
      <c r="G1043" s="18"/>
      <c r="H1043" s="18"/>
      <c r="I1043" s="18"/>
      <c r="J1043" s="18"/>
      <c r="K1043" s="18"/>
      <c r="L1043" s="18"/>
      <c r="M1043" s="18"/>
      <c r="N1043" s="18"/>
      <c r="O1043" s="18"/>
      <c r="P1043" s="18"/>
      <c r="Q1043" s="18"/>
    </row>
    <row r="1044" spans="6:17">
      <c r="F1044" s="18"/>
      <c r="G1044" s="18"/>
      <c r="H1044" s="18"/>
      <c r="I1044" s="18"/>
      <c r="J1044" s="18"/>
      <c r="K1044" s="18"/>
      <c r="L1044" s="18"/>
      <c r="M1044" s="18"/>
      <c r="N1044" s="18"/>
      <c r="O1044" s="18"/>
      <c r="P1044" s="18"/>
      <c r="Q1044" s="18"/>
    </row>
    <row r="1045" spans="6:17">
      <c r="F1045" s="18"/>
      <c r="G1045" s="18"/>
      <c r="H1045" s="18"/>
      <c r="I1045" s="18"/>
      <c r="J1045" s="18"/>
      <c r="K1045" s="18"/>
      <c r="L1045" s="18"/>
      <c r="M1045" s="18"/>
      <c r="N1045" s="18"/>
      <c r="O1045" s="18"/>
      <c r="P1045" s="18"/>
      <c r="Q1045" s="18"/>
    </row>
    <row r="1046" spans="6:17">
      <c r="F1046" s="18"/>
      <c r="G1046" s="18"/>
      <c r="H1046" s="18"/>
      <c r="I1046" s="18"/>
      <c r="J1046" s="18"/>
      <c r="K1046" s="18"/>
      <c r="L1046" s="18"/>
      <c r="M1046" s="18"/>
      <c r="N1046" s="18"/>
      <c r="O1046" s="18"/>
      <c r="P1046" s="18"/>
      <c r="Q1046" s="18"/>
    </row>
    <row r="1047" spans="6:17">
      <c r="F1047" s="18"/>
      <c r="G1047" s="18"/>
      <c r="H1047" s="18"/>
      <c r="I1047" s="18"/>
      <c r="J1047" s="18"/>
      <c r="K1047" s="18"/>
      <c r="L1047" s="18"/>
      <c r="M1047" s="18"/>
      <c r="N1047" s="18"/>
      <c r="O1047" s="18"/>
      <c r="P1047" s="18"/>
      <c r="Q1047" s="18"/>
    </row>
    <row r="1048" spans="6:17">
      <c r="F1048" s="18"/>
      <c r="G1048" s="18"/>
      <c r="H1048" s="18"/>
      <c r="I1048" s="18"/>
      <c r="J1048" s="18"/>
      <c r="K1048" s="18"/>
      <c r="L1048" s="18"/>
      <c r="M1048" s="18"/>
      <c r="N1048" s="18"/>
      <c r="O1048" s="18"/>
      <c r="P1048" s="18"/>
      <c r="Q1048" s="18"/>
    </row>
    <row r="1049" spans="6:17">
      <c r="F1049" s="18"/>
      <c r="G1049" s="18"/>
      <c r="H1049" s="18"/>
      <c r="I1049" s="18"/>
      <c r="J1049" s="18"/>
      <c r="K1049" s="18"/>
      <c r="L1049" s="18"/>
      <c r="M1049" s="18"/>
      <c r="N1049" s="18"/>
      <c r="O1049" s="18"/>
      <c r="P1049" s="18"/>
      <c r="Q1049" s="18"/>
    </row>
    <row r="1050" spans="6:17">
      <c r="F1050" s="18"/>
      <c r="G1050" s="18"/>
      <c r="H1050" s="18"/>
      <c r="I1050" s="18"/>
      <c r="J1050" s="18"/>
      <c r="K1050" s="18"/>
      <c r="L1050" s="18"/>
      <c r="M1050" s="18"/>
      <c r="N1050" s="18"/>
      <c r="O1050" s="18"/>
      <c r="P1050" s="18"/>
      <c r="Q1050" s="18"/>
    </row>
    <row r="1051" spans="6:17">
      <c r="F1051" s="18"/>
      <c r="G1051" s="18"/>
      <c r="H1051" s="18"/>
      <c r="I1051" s="18"/>
      <c r="J1051" s="18"/>
      <c r="K1051" s="18"/>
      <c r="L1051" s="18"/>
      <c r="M1051" s="18"/>
      <c r="N1051" s="18"/>
      <c r="O1051" s="18"/>
      <c r="P1051" s="18"/>
      <c r="Q1051" s="18"/>
    </row>
    <row r="1052" spans="6:17">
      <c r="F1052" s="18"/>
      <c r="G1052" s="18"/>
      <c r="H1052" s="18"/>
      <c r="I1052" s="18"/>
      <c r="J1052" s="18"/>
      <c r="K1052" s="18"/>
      <c r="L1052" s="18"/>
      <c r="M1052" s="18"/>
      <c r="N1052" s="18"/>
      <c r="O1052" s="18"/>
      <c r="P1052" s="18"/>
      <c r="Q1052" s="18"/>
    </row>
    <row r="1053" spans="6:17">
      <c r="F1053" s="18"/>
      <c r="G1053" s="18"/>
      <c r="H1053" s="18"/>
      <c r="I1053" s="18"/>
      <c r="J1053" s="18"/>
      <c r="K1053" s="18"/>
      <c r="L1053" s="18"/>
      <c r="M1053" s="18"/>
      <c r="N1053" s="18"/>
      <c r="O1053" s="18"/>
      <c r="P1053" s="18"/>
      <c r="Q1053" s="18"/>
    </row>
    <row r="1054" spans="6:17">
      <c r="F1054" s="18"/>
      <c r="G1054" s="18"/>
      <c r="H1054" s="18"/>
      <c r="I1054" s="18"/>
      <c r="J1054" s="18"/>
      <c r="K1054" s="18"/>
      <c r="L1054" s="18"/>
      <c r="M1054" s="18"/>
      <c r="N1054" s="18"/>
      <c r="O1054" s="18"/>
      <c r="P1054" s="18"/>
      <c r="Q1054" s="18"/>
    </row>
    <row r="1055" spans="6:17">
      <c r="F1055" s="18"/>
      <c r="G1055" s="18"/>
      <c r="H1055" s="18"/>
      <c r="I1055" s="18"/>
      <c r="J1055" s="18"/>
      <c r="K1055" s="18"/>
      <c r="L1055" s="18"/>
      <c r="M1055" s="18"/>
      <c r="N1055" s="18"/>
      <c r="O1055" s="18"/>
      <c r="P1055" s="18"/>
      <c r="Q1055" s="18"/>
    </row>
    <row r="1056" spans="6:17">
      <c r="F1056" s="18"/>
      <c r="G1056" s="18"/>
      <c r="H1056" s="18"/>
      <c r="I1056" s="18"/>
      <c r="J1056" s="18"/>
      <c r="K1056" s="18"/>
      <c r="L1056" s="18"/>
      <c r="M1056" s="18"/>
      <c r="N1056" s="18"/>
      <c r="O1056" s="18"/>
      <c r="P1056" s="18"/>
      <c r="Q1056" s="18"/>
    </row>
    <row r="1057" spans="6:17">
      <c r="F1057" s="18"/>
      <c r="G1057" s="18"/>
      <c r="H1057" s="18"/>
      <c r="I1057" s="18"/>
      <c r="J1057" s="18"/>
      <c r="K1057" s="18"/>
      <c r="L1057" s="18"/>
      <c r="M1057" s="18"/>
      <c r="N1057" s="18"/>
      <c r="O1057" s="18"/>
      <c r="P1057" s="18"/>
      <c r="Q1057" s="18"/>
    </row>
    <row r="1058" spans="6:17">
      <c r="F1058" s="18"/>
      <c r="G1058" s="18"/>
      <c r="H1058" s="18"/>
      <c r="I1058" s="18"/>
      <c r="J1058" s="18"/>
      <c r="K1058" s="18"/>
      <c r="L1058" s="18"/>
      <c r="M1058" s="18"/>
      <c r="N1058" s="18"/>
      <c r="O1058" s="18"/>
      <c r="P1058" s="18"/>
      <c r="Q1058" s="18"/>
    </row>
    <row r="1059" spans="6:17">
      <c r="F1059" s="18"/>
      <c r="G1059" s="18"/>
      <c r="H1059" s="18"/>
      <c r="I1059" s="18"/>
      <c r="J1059" s="18"/>
      <c r="K1059" s="18"/>
      <c r="L1059" s="18"/>
      <c r="M1059" s="18"/>
      <c r="N1059" s="18"/>
      <c r="O1059" s="18"/>
      <c r="P1059" s="18"/>
      <c r="Q1059" s="18"/>
    </row>
    <row r="1060" spans="6:17">
      <c r="F1060" s="18"/>
      <c r="G1060" s="18"/>
      <c r="H1060" s="18"/>
      <c r="I1060" s="18"/>
      <c r="J1060" s="18"/>
      <c r="K1060" s="18"/>
      <c r="L1060" s="18"/>
      <c r="M1060" s="18"/>
      <c r="N1060" s="18"/>
      <c r="O1060" s="18"/>
      <c r="P1060" s="18"/>
      <c r="Q1060" s="18"/>
    </row>
    <row r="1061" spans="6:17">
      <c r="F1061" s="18"/>
      <c r="G1061" s="18"/>
      <c r="H1061" s="18"/>
      <c r="I1061" s="18"/>
      <c r="J1061" s="18"/>
      <c r="K1061" s="18"/>
      <c r="L1061" s="18"/>
      <c r="M1061" s="18"/>
      <c r="N1061" s="18"/>
      <c r="O1061" s="18"/>
      <c r="P1061" s="18"/>
      <c r="Q1061" s="18"/>
    </row>
    <row r="1062" spans="6:17">
      <c r="F1062" s="18"/>
      <c r="G1062" s="18"/>
      <c r="H1062" s="18"/>
      <c r="I1062" s="18"/>
      <c r="J1062" s="18"/>
      <c r="K1062" s="18"/>
      <c r="L1062" s="18"/>
      <c r="M1062" s="18"/>
      <c r="N1062" s="18"/>
      <c r="O1062" s="18"/>
      <c r="P1062" s="18"/>
      <c r="Q1062" s="18"/>
    </row>
    <row r="1063" spans="6:17">
      <c r="F1063" s="18"/>
      <c r="G1063" s="18"/>
      <c r="H1063" s="18"/>
      <c r="I1063" s="18"/>
      <c r="J1063" s="18"/>
      <c r="K1063" s="18"/>
      <c r="L1063" s="18"/>
      <c r="M1063" s="18"/>
      <c r="N1063" s="18"/>
      <c r="O1063" s="18"/>
      <c r="P1063" s="18"/>
      <c r="Q1063" s="18"/>
    </row>
    <row r="1064" spans="6:17">
      <c r="F1064" s="18"/>
      <c r="G1064" s="18"/>
      <c r="H1064" s="18"/>
      <c r="I1064" s="18"/>
      <c r="J1064" s="18"/>
      <c r="K1064" s="18"/>
      <c r="L1064" s="18"/>
      <c r="M1064" s="18"/>
      <c r="N1064" s="18"/>
      <c r="O1064" s="18"/>
      <c r="P1064" s="18"/>
      <c r="Q1064" s="18"/>
    </row>
    <row r="1065" spans="6:17">
      <c r="F1065" s="18"/>
      <c r="G1065" s="18"/>
      <c r="H1065" s="18"/>
      <c r="I1065" s="18"/>
      <c r="J1065" s="18"/>
      <c r="K1065" s="18"/>
      <c r="L1065" s="18"/>
      <c r="M1065" s="18"/>
      <c r="N1065" s="18"/>
      <c r="O1065" s="18"/>
      <c r="P1065" s="18"/>
      <c r="Q1065" s="18"/>
    </row>
    <row r="1066" spans="6:17">
      <c r="F1066" s="18"/>
      <c r="G1066" s="18"/>
      <c r="H1066" s="18"/>
      <c r="I1066" s="18"/>
      <c r="J1066" s="18"/>
      <c r="K1066" s="18"/>
      <c r="L1066" s="18"/>
      <c r="M1066" s="18"/>
      <c r="N1066" s="18"/>
      <c r="O1066" s="18"/>
      <c r="P1066" s="18"/>
      <c r="Q1066" s="18"/>
    </row>
    <row r="1067" spans="6:17">
      <c r="F1067" s="18"/>
      <c r="G1067" s="18"/>
      <c r="H1067" s="18"/>
      <c r="I1067" s="18"/>
      <c r="J1067" s="18"/>
      <c r="K1067" s="18"/>
      <c r="L1067" s="18"/>
      <c r="M1067" s="18"/>
      <c r="N1067" s="18"/>
      <c r="O1067" s="18"/>
      <c r="P1067" s="18"/>
      <c r="Q1067" s="18"/>
    </row>
    <row r="1068" spans="6:17">
      <c r="F1068" s="18"/>
      <c r="G1068" s="18"/>
      <c r="H1068" s="18"/>
      <c r="I1068" s="18"/>
      <c r="J1068" s="18"/>
      <c r="K1068" s="18"/>
      <c r="L1068" s="18"/>
      <c r="M1068" s="18"/>
      <c r="N1068" s="18"/>
      <c r="O1068" s="18"/>
      <c r="P1068" s="18"/>
      <c r="Q1068" s="18"/>
    </row>
    <row r="1069" spans="6:17">
      <c r="F1069" s="18"/>
      <c r="G1069" s="18"/>
      <c r="H1069" s="18"/>
      <c r="I1069" s="18"/>
      <c r="J1069" s="18"/>
      <c r="K1069" s="18"/>
      <c r="L1069" s="18"/>
      <c r="M1069" s="18"/>
      <c r="N1069" s="18"/>
      <c r="O1069" s="18"/>
      <c r="P1069" s="18"/>
      <c r="Q1069" s="18"/>
    </row>
    <row r="1070" spans="6:17">
      <c r="F1070" s="18"/>
      <c r="G1070" s="18"/>
      <c r="H1070" s="18"/>
      <c r="I1070" s="18"/>
      <c r="J1070" s="18"/>
      <c r="K1070" s="18"/>
      <c r="L1070" s="18"/>
      <c r="M1070" s="18"/>
      <c r="N1070" s="18"/>
      <c r="O1070" s="18"/>
      <c r="P1070" s="18"/>
      <c r="Q1070" s="18"/>
    </row>
    <row r="1071" spans="6:17">
      <c r="F1071" s="18"/>
      <c r="G1071" s="18"/>
      <c r="H1071" s="18"/>
      <c r="I1071" s="18"/>
      <c r="J1071" s="18"/>
      <c r="K1071" s="18"/>
      <c r="L1071" s="18"/>
      <c r="M1071" s="18"/>
      <c r="N1071" s="18"/>
      <c r="O1071" s="18"/>
      <c r="P1071" s="18"/>
      <c r="Q1071" s="18"/>
    </row>
    <row r="1072" spans="6:17">
      <c r="F1072" s="18"/>
      <c r="G1072" s="18"/>
      <c r="H1072" s="18"/>
      <c r="I1072" s="18"/>
      <c r="J1072" s="18"/>
      <c r="K1072" s="18"/>
      <c r="L1072" s="18"/>
      <c r="M1072" s="18"/>
      <c r="N1072" s="18"/>
      <c r="O1072" s="18"/>
      <c r="P1072" s="18"/>
      <c r="Q1072" s="18"/>
    </row>
    <row r="1073" spans="6:17">
      <c r="F1073" s="18"/>
      <c r="G1073" s="18"/>
      <c r="H1073" s="18"/>
      <c r="I1073" s="18"/>
      <c r="J1073" s="18"/>
      <c r="K1073" s="18"/>
      <c r="L1073" s="18"/>
      <c r="M1073" s="18"/>
      <c r="N1073" s="18"/>
      <c r="O1073" s="18"/>
      <c r="P1073" s="18"/>
      <c r="Q1073" s="18"/>
    </row>
    <row r="1074" spans="6:17">
      <c r="F1074" s="18"/>
      <c r="G1074" s="18"/>
      <c r="H1074" s="18"/>
      <c r="I1074" s="18"/>
      <c r="J1074" s="18"/>
      <c r="K1074" s="18"/>
      <c r="L1074" s="18"/>
      <c r="M1074" s="18"/>
      <c r="N1074" s="18"/>
      <c r="O1074" s="18"/>
      <c r="P1074" s="18"/>
      <c r="Q1074" s="18"/>
    </row>
    <row r="1075" spans="6:17">
      <c r="F1075" s="18"/>
      <c r="G1075" s="18"/>
      <c r="H1075" s="18"/>
      <c r="I1075" s="18"/>
      <c r="J1075" s="18"/>
      <c r="K1075" s="18"/>
      <c r="L1075" s="18"/>
      <c r="M1075" s="18"/>
      <c r="N1075" s="18"/>
      <c r="O1075" s="18"/>
      <c r="P1075" s="18"/>
      <c r="Q1075" s="18"/>
    </row>
    <row r="1076" spans="6:17">
      <c r="F1076" s="18"/>
      <c r="G1076" s="18"/>
      <c r="H1076" s="18"/>
      <c r="I1076" s="18"/>
      <c r="J1076" s="18"/>
      <c r="K1076" s="18"/>
      <c r="L1076" s="18"/>
      <c r="M1076" s="18"/>
      <c r="N1076" s="18"/>
      <c r="O1076" s="18"/>
      <c r="P1076" s="18"/>
      <c r="Q1076" s="18"/>
    </row>
    <row r="1077" spans="6:17">
      <c r="F1077" s="18"/>
      <c r="G1077" s="18"/>
      <c r="H1077" s="18"/>
      <c r="I1077" s="18"/>
      <c r="J1077" s="18"/>
      <c r="K1077" s="18"/>
      <c r="L1077" s="18"/>
      <c r="M1077" s="18"/>
      <c r="N1077" s="18"/>
      <c r="O1077" s="18"/>
      <c r="P1077" s="18"/>
      <c r="Q1077" s="18"/>
    </row>
    <row r="1078" spans="6:17">
      <c r="F1078" s="18"/>
      <c r="G1078" s="18"/>
      <c r="H1078" s="18"/>
      <c r="I1078" s="18"/>
      <c r="J1078" s="18"/>
      <c r="K1078" s="18"/>
      <c r="L1078" s="18"/>
      <c r="M1078" s="18"/>
      <c r="N1078" s="18"/>
      <c r="O1078" s="18"/>
      <c r="P1078" s="18"/>
      <c r="Q1078" s="18"/>
    </row>
    <row r="1079" spans="6:17">
      <c r="F1079" s="18"/>
      <c r="G1079" s="18"/>
      <c r="H1079" s="18"/>
      <c r="I1079" s="18"/>
      <c r="J1079" s="18"/>
      <c r="K1079" s="18"/>
      <c r="L1079" s="18"/>
      <c r="M1079" s="18"/>
      <c r="N1079" s="18"/>
      <c r="O1079" s="18"/>
      <c r="P1079" s="18"/>
      <c r="Q1079" s="18"/>
    </row>
    <row r="1080" spans="6:17">
      <c r="F1080" s="18"/>
      <c r="G1080" s="18"/>
      <c r="H1080" s="18"/>
      <c r="I1080" s="18"/>
      <c r="J1080" s="18"/>
      <c r="K1080" s="18"/>
      <c r="L1080" s="18"/>
      <c r="M1080" s="18"/>
      <c r="N1080" s="18"/>
      <c r="O1080" s="18"/>
      <c r="P1080" s="18"/>
      <c r="Q1080" s="18"/>
    </row>
    <row r="1081" spans="6:17">
      <c r="F1081" s="18"/>
      <c r="G1081" s="18"/>
      <c r="H1081" s="18"/>
      <c r="I1081" s="18"/>
      <c r="J1081" s="18"/>
      <c r="K1081" s="18"/>
      <c r="L1081" s="18"/>
      <c r="M1081" s="18"/>
      <c r="N1081" s="18"/>
      <c r="O1081" s="18"/>
      <c r="P1081" s="18"/>
      <c r="Q1081" s="18"/>
    </row>
    <row r="1082" spans="6:17">
      <c r="F1082" s="18"/>
      <c r="G1082" s="18"/>
      <c r="H1082" s="18"/>
      <c r="I1082" s="18"/>
      <c r="J1082" s="18"/>
      <c r="K1082" s="18"/>
      <c r="L1082" s="18"/>
      <c r="M1082" s="18"/>
      <c r="N1082" s="18"/>
      <c r="O1082" s="18"/>
      <c r="P1082" s="18"/>
      <c r="Q1082" s="18"/>
    </row>
    <row r="1083" spans="6:17">
      <c r="F1083" s="18"/>
      <c r="G1083" s="18"/>
      <c r="H1083" s="18"/>
      <c r="I1083" s="18"/>
      <c r="J1083" s="18"/>
      <c r="K1083" s="18"/>
      <c r="L1083" s="18"/>
      <c r="M1083" s="18"/>
      <c r="N1083" s="18"/>
      <c r="O1083" s="18"/>
      <c r="P1083" s="18"/>
      <c r="Q1083" s="18"/>
    </row>
    <row r="1084" spans="6:17">
      <c r="F1084" s="18"/>
      <c r="G1084" s="18"/>
      <c r="H1084" s="18"/>
      <c r="I1084" s="18"/>
      <c r="J1084" s="18"/>
      <c r="K1084" s="18"/>
      <c r="L1084" s="18"/>
      <c r="M1084" s="18"/>
      <c r="N1084" s="18"/>
      <c r="O1084" s="18"/>
      <c r="P1084" s="18"/>
      <c r="Q1084" s="18"/>
    </row>
    <row r="1085" spans="6:17">
      <c r="F1085" s="18"/>
      <c r="G1085" s="18"/>
      <c r="H1085" s="18"/>
      <c r="I1085" s="18"/>
      <c r="J1085" s="18"/>
      <c r="K1085" s="18"/>
      <c r="L1085" s="18"/>
      <c r="M1085" s="18"/>
      <c r="N1085" s="18"/>
      <c r="O1085" s="18"/>
      <c r="P1085" s="18"/>
      <c r="Q1085" s="18"/>
    </row>
    <row r="1086" spans="6:17">
      <c r="F1086" s="18"/>
      <c r="G1086" s="18"/>
      <c r="H1086" s="18"/>
      <c r="I1086" s="18"/>
      <c r="J1086" s="18"/>
      <c r="K1086" s="18"/>
      <c r="L1086" s="18"/>
      <c r="M1086" s="18"/>
      <c r="N1086" s="18"/>
      <c r="O1086" s="18"/>
      <c r="P1086" s="18"/>
      <c r="Q1086" s="18"/>
    </row>
    <row r="1087" spans="6:17">
      <c r="F1087" s="18"/>
      <c r="G1087" s="18"/>
      <c r="H1087" s="18"/>
      <c r="I1087" s="18"/>
      <c r="J1087" s="18"/>
      <c r="K1087" s="18"/>
      <c r="L1087" s="18"/>
      <c r="M1087" s="18"/>
      <c r="N1087" s="18"/>
      <c r="O1087" s="18"/>
      <c r="P1087" s="18"/>
      <c r="Q1087" s="18"/>
    </row>
    <row r="1088" spans="6:17">
      <c r="F1088" s="18"/>
      <c r="G1088" s="18"/>
      <c r="H1088" s="18"/>
      <c r="I1088" s="18"/>
      <c r="J1088" s="18"/>
      <c r="K1088" s="18"/>
      <c r="L1088" s="18"/>
      <c r="M1088" s="18"/>
      <c r="N1088" s="18"/>
      <c r="O1088" s="18"/>
      <c r="P1088" s="18"/>
      <c r="Q1088" s="18"/>
    </row>
    <row r="1089" spans="6:17">
      <c r="F1089" s="18"/>
      <c r="G1089" s="18"/>
      <c r="H1089" s="18"/>
      <c r="I1089" s="18"/>
      <c r="J1089" s="18"/>
      <c r="K1089" s="18"/>
      <c r="L1089" s="18"/>
      <c r="M1089" s="18"/>
      <c r="N1089" s="18"/>
      <c r="O1089" s="18"/>
      <c r="P1089" s="18"/>
      <c r="Q1089" s="18"/>
    </row>
    <row r="1090" spans="6:17">
      <c r="F1090" s="18"/>
      <c r="G1090" s="18"/>
      <c r="H1090" s="18"/>
      <c r="I1090" s="18"/>
      <c r="J1090" s="18"/>
      <c r="K1090" s="18"/>
      <c r="L1090" s="18"/>
      <c r="M1090" s="18"/>
      <c r="N1090" s="18"/>
      <c r="O1090" s="18"/>
      <c r="P1090" s="18"/>
      <c r="Q1090" s="18"/>
    </row>
    <row r="1091" spans="6:17">
      <c r="F1091" s="18"/>
      <c r="G1091" s="18"/>
      <c r="H1091" s="18"/>
      <c r="I1091" s="18"/>
      <c r="J1091" s="18"/>
      <c r="K1091" s="18"/>
      <c r="L1091" s="18"/>
      <c r="M1091" s="18"/>
      <c r="N1091" s="18"/>
      <c r="O1091" s="18"/>
      <c r="P1091" s="18"/>
      <c r="Q1091" s="18"/>
    </row>
    <row r="1092" spans="6:17">
      <c r="F1092" s="18"/>
      <c r="G1092" s="18"/>
      <c r="H1092" s="18"/>
      <c r="I1092" s="18"/>
      <c r="J1092" s="18"/>
      <c r="K1092" s="18"/>
      <c r="L1092" s="18"/>
      <c r="M1092" s="18"/>
      <c r="N1092" s="18"/>
      <c r="O1092" s="18"/>
      <c r="P1092" s="18"/>
      <c r="Q1092" s="18"/>
    </row>
    <row r="1093" spans="6:17">
      <c r="F1093" s="18"/>
      <c r="G1093" s="18"/>
      <c r="H1093" s="18"/>
      <c r="I1093" s="18"/>
      <c r="J1093" s="18"/>
      <c r="K1093" s="18"/>
      <c r="L1093" s="18"/>
      <c r="M1093" s="18"/>
      <c r="N1093" s="18"/>
      <c r="O1093" s="18"/>
      <c r="P1093" s="18"/>
      <c r="Q1093" s="18"/>
    </row>
    <row r="1094" spans="6:17">
      <c r="F1094" s="18"/>
      <c r="G1094" s="18"/>
      <c r="H1094" s="18"/>
      <c r="I1094" s="18"/>
      <c r="J1094" s="18"/>
      <c r="K1094" s="18"/>
      <c r="L1094" s="18"/>
      <c r="M1094" s="18"/>
      <c r="N1094" s="18"/>
      <c r="O1094" s="18"/>
      <c r="P1094" s="18"/>
      <c r="Q1094" s="18"/>
    </row>
    <row r="1095" spans="6:17">
      <c r="F1095" s="18"/>
      <c r="G1095" s="18"/>
      <c r="H1095" s="18"/>
      <c r="I1095" s="18"/>
      <c r="J1095" s="18"/>
      <c r="K1095" s="18"/>
      <c r="L1095" s="18"/>
      <c r="M1095" s="18"/>
      <c r="N1095" s="18"/>
      <c r="O1095" s="18"/>
      <c r="P1095" s="18"/>
      <c r="Q1095" s="18"/>
    </row>
    <row r="1096" spans="6:17">
      <c r="F1096" s="18"/>
      <c r="G1096" s="18"/>
      <c r="H1096" s="18"/>
      <c r="I1096" s="18"/>
      <c r="J1096" s="18"/>
      <c r="K1096" s="18"/>
      <c r="L1096" s="18"/>
      <c r="M1096" s="18"/>
      <c r="N1096" s="18"/>
      <c r="O1096" s="18"/>
      <c r="P1096" s="18"/>
      <c r="Q1096" s="18"/>
    </row>
    <row r="1097" spans="6:17">
      <c r="F1097" s="18"/>
      <c r="G1097" s="18"/>
      <c r="H1097" s="18"/>
      <c r="I1097" s="18"/>
      <c r="J1097" s="18"/>
      <c r="K1097" s="18"/>
      <c r="L1097" s="18"/>
      <c r="M1097" s="18"/>
      <c r="N1097" s="18"/>
      <c r="O1097" s="18"/>
      <c r="P1097" s="18"/>
      <c r="Q1097" s="18"/>
    </row>
    <row r="1098" spans="6:17">
      <c r="F1098" s="18"/>
      <c r="G1098" s="18"/>
      <c r="H1098" s="18"/>
      <c r="I1098" s="18"/>
      <c r="J1098" s="18"/>
      <c r="K1098" s="18"/>
      <c r="L1098" s="18"/>
      <c r="M1098" s="18"/>
      <c r="N1098" s="18"/>
      <c r="O1098" s="18"/>
      <c r="P1098" s="18"/>
      <c r="Q1098" s="18"/>
    </row>
    <row r="1099" spans="6:17">
      <c r="F1099" s="18"/>
      <c r="G1099" s="18"/>
      <c r="H1099" s="18"/>
      <c r="I1099" s="18"/>
      <c r="J1099" s="18"/>
      <c r="K1099" s="18"/>
      <c r="L1099" s="18"/>
      <c r="M1099" s="18"/>
      <c r="N1099" s="18"/>
      <c r="O1099" s="18"/>
      <c r="P1099" s="18"/>
      <c r="Q1099" s="18"/>
    </row>
    <row r="1100" spans="6:17">
      <c r="F1100" s="18"/>
      <c r="G1100" s="18"/>
      <c r="H1100" s="18"/>
      <c r="I1100" s="18"/>
      <c r="J1100" s="18"/>
      <c r="K1100" s="18"/>
      <c r="L1100" s="18"/>
      <c r="M1100" s="18"/>
      <c r="N1100" s="18"/>
      <c r="O1100" s="18"/>
      <c r="P1100" s="18"/>
      <c r="Q1100" s="18"/>
    </row>
    <row r="1101" spans="6:17">
      <c r="F1101" s="18"/>
      <c r="G1101" s="18"/>
      <c r="H1101" s="18"/>
      <c r="I1101" s="18"/>
      <c r="J1101" s="18"/>
      <c r="K1101" s="18"/>
      <c r="L1101" s="18"/>
      <c r="M1101" s="18"/>
      <c r="N1101" s="18"/>
      <c r="O1101" s="18"/>
      <c r="P1101" s="18"/>
      <c r="Q1101" s="18"/>
    </row>
    <row r="1102" spans="6:17">
      <c r="F1102" s="18"/>
      <c r="G1102" s="18"/>
      <c r="H1102" s="18"/>
      <c r="I1102" s="18"/>
      <c r="J1102" s="18"/>
      <c r="K1102" s="18"/>
      <c r="L1102" s="18"/>
      <c r="M1102" s="18"/>
      <c r="N1102" s="18"/>
      <c r="O1102" s="18"/>
      <c r="P1102" s="18"/>
      <c r="Q1102" s="18"/>
    </row>
    <row r="1103" spans="6:17">
      <c r="F1103" s="18"/>
      <c r="G1103" s="18"/>
      <c r="H1103" s="18"/>
      <c r="I1103" s="18"/>
      <c r="J1103" s="18"/>
      <c r="K1103" s="18"/>
      <c r="L1103" s="18"/>
      <c r="M1103" s="18"/>
      <c r="N1103" s="18"/>
      <c r="O1103" s="18"/>
      <c r="P1103" s="18"/>
      <c r="Q1103" s="18"/>
    </row>
    <row r="1104" spans="6:17">
      <c r="F1104" s="18"/>
      <c r="G1104" s="18"/>
      <c r="H1104" s="18"/>
      <c r="I1104" s="18"/>
      <c r="J1104" s="18"/>
      <c r="K1104" s="18"/>
      <c r="L1104" s="18"/>
      <c r="M1104" s="18"/>
      <c r="N1104" s="18"/>
      <c r="O1104" s="18"/>
      <c r="P1104" s="18"/>
      <c r="Q1104" s="18"/>
    </row>
    <row r="1105" spans="6:17">
      <c r="F1105" s="18"/>
      <c r="G1105" s="18"/>
      <c r="H1105" s="18"/>
      <c r="I1105" s="18"/>
      <c r="J1105" s="18"/>
      <c r="K1105" s="18"/>
      <c r="L1105" s="18"/>
      <c r="M1105" s="18"/>
      <c r="N1105" s="18"/>
      <c r="O1105" s="18"/>
      <c r="P1105" s="18"/>
      <c r="Q1105" s="18"/>
    </row>
    <row r="1106" spans="6:17">
      <c r="F1106" s="18"/>
      <c r="G1106" s="18"/>
      <c r="H1106" s="18"/>
      <c r="I1106" s="18"/>
      <c r="J1106" s="18"/>
      <c r="K1106" s="18"/>
      <c r="L1106" s="18"/>
      <c r="M1106" s="18"/>
      <c r="N1106" s="18"/>
      <c r="O1106" s="18"/>
      <c r="P1106" s="18"/>
      <c r="Q1106" s="18"/>
    </row>
    <row r="1107" spans="6:17">
      <c r="F1107" s="18"/>
      <c r="G1107" s="18"/>
      <c r="H1107" s="18"/>
      <c r="I1107" s="18"/>
      <c r="J1107" s="18"/>
      <c r="K1107" s="18"/>
      <c r="L1107" s="18"/>
      <c r="M1107" s="18"/>
      <c r="N1107" s="18"/>
      <c r="O1107" s="18"/>
      <c r="P1107" s="18"/>
      <c r="Q1107" s="18"/>
    </row>
    <row r="1108" spans="6:17">
      <c r="F1108" s="18"/>
      <c r="G1108" s="18"/>
      <c r="H1108" s="18"/>
      <c r="I1108" s="18"/>
      <c r="J1108" s="18"/>
      <c r="K1108" s="18"/>
      <c r="L1108" s="18"/>
      <c r="M1108" s="18"/>
      <c r="N1108" s="18"/>
      <c r="O1108" s="18"/>
      <c r="P1108" s="18"/>
      <c r="Q1108" s="18"/>
    </row>
    <row r="1109" spans="6:17">
      <c r="F1109" s="18"/>
      <c r="G1109" s="18"/>
      <c r="H1109" s="18"/>
      <c r="I1109" s="18"/>
      <c r="J1109" s="18"/>
      <c r="K1109" s="18"/>
      <c r="L1109" s="18"/>
      <c r="M1109" s="18"/>
      <c r="N1109" s="18"/>
      <c r="O1109" s="18"/>
      <c r="P1109" s="18"/>
      <c r="Q1109" s="18"/>
    </row>
    <row r="1110" spans="6:17">
      <c r="F1110" s="18"/>
      <c r="G1110" s="18"/>
      <c r="H1110" s="18"/>
      <c r="I1110" s="18"/>
      <c r="J1110" s="18"/>
      <c r="K1110" s="18"/>
      <c r="L1110" s="18"/>
      <c r="M1110" s="18"/>
      <c r="N1110" s="18"/>
      <c r="O1110" s="18"/>
      <c r="P1110" s="18"/>
      <c r="Q1110" s="18"/>
    </row>
    <row r="1111" spans="6:17">
      <c r="F1111" s="18"/>
      <c r="G1111" s="18"/>
      <c r="H1111" s="18"/>
      <c r="I1111" s="18"/>
      <c r="J1111" s="18"/>
      <c r="K1111" s="18"/>
      <c r="L1111" s="18"/>
      <c r="M1111" s="18"/>
      <c r="N1111" s="18"/>
      <c r="O1111" s="18"/>
      <c r="P1111" s="18"/>
      <c r="Q1111" s="18"/>
    </row>
    <row r="1112" spans="6:17">
      <c r="F1112" s="18"/>
      <c r="G1112" s="18"/>
      <c r="H1112" s="18"/>
      <c r="I1112" s="18"/>
      <c r="J1112" s="18"/>
      <c r="K1112" s="18"/>
      <c r="L1112" s="18"/>
      <c r="M1112" s="18"/>
      <c r="N1112" s="18"/>
      <c r="O1112" s="18"/>
      <c r="P1112" s="18"/>
      <c r="Q1112" s="18"/>
    </row>
    <row r="1113" spans="6:17">
      <c r="F1113" s="18"/>
      <c r="G1113" s="18"/>
      <c r="H1113" s="18"/>
      <c r="I1113" s="18"/>
      <c r="J1113" s="18"/>
      <c r="K1113" s="18"/>
      <c r="L1113" s="18"/>
      <c r="M1113" s="18"/>
      <c r="N1113" s="18"/>
      <c r="O1113" s="18"/>
      <c r="P1113" s="18"/>
      <c r="Q1113" s="18"/>
    </row>
    <row r="1114" spans="6:17">
      <c r="F1114" s="18"/>
      <c r="G1114" s="18"/>
      <c r="H1114" s="18"/>
      <c r="I1114" s="18"/>
      <c r="J1114" s="18"/>
      <c r="K1114" s="18"/>
      <c r="L1114" s="18"/>
      <c r="M1114" s="18"/>
      <c r="N1114" s="18"/>
      <c r="O1114" s="18"/>
      <c r="P1114" s="18"/>
      <c r="Q1114" s="18"/>
    </row>
    <row r="1115" spans="6:17">
      <c r="F1115" s="18"/>
      <c r="G1115" s="18"/>
      <c r="H1115" s="18"/>
      <c r="I1115" s="18"/>
      <c r="J1115" s="18"/>
      <c r="K1115" s="18"/>
      <c r="L1115" s="18"/>
      <c r="M1115" s="18"/>
      <c r="N1115" s="18"/>
      <c r="O1115" s="18"/>
      <c r="P1115" s="18"/>
      <c r="Q1115" s="18"/>
    </row>
    <row r="1116" spans="6:17">
      <c r="F1116" s="18"/>
      <c r="G1116" s="18"/>
      <c r="H1116" s="18"/>
      <c r="I1116" s="18"/>
      <c r="J1116" s="18"/>
      <c r="K1116" s="18"/>
      <c r="L1116" s="18"/>
      <c r="M1116" s="18"/>
      <c r="N1116" s="18"/>
      <c r="O1116" s="18"/>
      <c r="P1116" s="18"/>
      <c r="Q1116" s="18"/>
    </row>
    <row r="1117" spans="6:17">
      <c r="F1117" s="18"/>
      <c r="G1117" s="18"/>
      <c r="H1117" s="18"/>
      <c r="I1117" s="18"/>
      <c r="J1117" s="18"/>
      <c r="K1117" s="18"/>
      <c r="L1117" s="18"/>
      <c r="M1117" s="18"/>
      <c r="N1117" s="18"/>
      <c r="O1117" s="18"/>
      <c r="P1117" s="18"/>
      <c r="Q1117" s="18"/>
    </row>
    <row r="1118" spans="6:17">
      <c r="F1118" s="18"/>
      <c r="G1118" s="18"/>
      <c r="H1118" s="18"/>
      <c r="I1118" s="18"/>
      <c r="J1118" s="18"/>
      <c r="K1118" s="18"/>
      <c r="L1118" s="18"/>
      <c r="M1118" s="18"/>
      <c r="N1118" s="18"/>
      <c r="O1118" s="18"/>
      <c r="P1118" s="18"/>
      <c r="Q1118" s="18"/>
    </row>
    <row r="1119" spans="6:17">
      <c r="F1119" s="18"/>
      <c r="G1119" s="18"/>
      <c r="H1119" s="18"/>
      <c r="I1119" s="18"/>
      <c r="J1119" s="18"/>
      <c r="K1119" s="18"/>
      <c r="L1119" s="18"/>
      <c r="M1119" s="18"/>
      <c r="N1119" s="18"/>
      <c r="O1119" s="18"/>
      <c r="P1119" s="18"/>
      <c r="Q1119" s="18"/>
    </row>
    <row r="1120" spans="6:17">
      <c r="F1120" s="18"/>
      <c r="G1120" s="18"/>
      <c r="H1120" s="18"/>
      <c r="I1120" s="18"/>
      <c r="J1120" s="18"/>
      <c r="K1120" s="18"/>
      <c r="L1120" s="18"/>
      <c r="M1120" s="18"/>
      <c r="N1120" s="18"/>
      <c r="O1120" s="18"/>
      <c r="P1120" s="18"/>
      <c r="Q1120" s="18"/>
    </row>
    <row r="1121" spans="6:17">
      <c r="F1121" s="18"/>
      <c r="G1121" s="18"/>
      <c r="H1121" s="18"/>
      <c r="I1121" s="18"/>
      <c r="J1121" s="18"/>
      <c r="K1121" s="18"/>
      <c r="L1121" s="18"/>
      <c r="M1121" s="18"/>
      <c r="N1121" s="18"/>
      <c r="O1121" s="18"/>
      <c r="P1121" s="18"/>
      <c r="Q1121" s="18"/>
    </row>
    <row r="1122" spans="6:17">
      <c r="F1122" s="18"/>
      <c r="G1122" s="18"/>
      <c r="H1122" s="18"/>
      <c r="I1122" s="18"/>
      <c r="J1122" s="18"/>
      <c r="K1122" s="18"/>
      <c r="L1122" s="18"/>
      <c r="M1122" s="18"/>
      <c r="N1122" s="18"/>
      <c r="O1122" s="18"/>
      <c r="P1122" s="18"/>
      <c r="Q1122" s="18"/>
    </row>
    <row r="1123" spans="6:17">
      <c r="F1123" s="18"/>
      <c r="G1123" s="18"/>
      <c r="H1123" s="18"/>
      <c r="I1123" s="18"/>
      <c r="J1123" s="18"/>
      <c r="K1123" s="18"/>
      <c r="L1123" s="18"/>
      <c r="M1123" s="18"/>
      <c r="N1123" s="18"/>
      <c r="O1123" s="18"/>
      <c r="P1123" s="18"/>
      <c r="Q1123" s="18"/>
    </row>
    <row r="1124" spans="6:17">
      <c r="F1124" s="18"/>
      <c r="G1124" s="18"/>
      <c r="H1124" s="18"/>
      <c r="I1124" s="18"/>
      <c r="J1124" s="18"/>
      <c r="K1124" s="18"/>
      <c r="L1124" s="18"/>
      <c r="M1124" s="18"/>
      <c r="N1124" s="18"/>
      <c r="O1124" s="18"/>
      <c r="P1124" s="18"/>
      <c r="Q1124" s="18"/>
    </row>
    <row r="1125" spans="6:17">
      <c r="F1125" s="18"/>
      <c r="G1125" s="18"/>
      <c r="H1125" s="18"/>
      <c r="I1125" s="18"/>
      <c r="J1125" s="18"/>
      <c r="K1125" s="18"/>
      <c r="L1125" s="18"/>
      <c r="M1125" s="18"/>
      <c r="N1125" s="18"/>
      <c r="O1125" s="18"/>
      <c r="P1125" s="18"/>
      <c r="Q1125" s="18"/>
    </row>
    <row r="1126" spans="6:17">
      <c r="F1126" s="18"/>
      <c r="G1126" s="18"/>
      <c r="H1126" s="18"/>
      <c r="I1126" s="18"/>
      <c r="J1126" s="18"/>
      <c r="K1126" s="18"/>
      <c r="L1126" s="18"/>
      <c r="M1126" s="18"/>
      <c r="N1126" s="18"/>
      <c r="O1126" s="18"/>
      <c r="P1126" s="18"/>
      <c r="Q1126" s="18"/>
    </row>
    <row r="1127" spans="6:17">
      <c r="F1127" s="18"/>
      <c r="G1127" s="18"/>
      <c r="H1127" s="18"/>
      <c r="I1127" s="18"/>
      <c r="J1127" s="18"/>
      <c r="K1127" s="18"/>
      <c r="L1127" s="18"/>
      <c r="M1127" s="18"/>
      <c r="N1127" s="18"/>
      <c r="O1127" s="18"/>
      <c r="P1127" s="18"/>
      <c r="Q1127" s="18"/>
    </row>
    <row r="1128" spans="6:17">
      <c r="F1128" s="18"/>
      <c r="G1128" s="18"/>
      <c r="H1128" s="18"/>
      <c r="I1128" s="18"/>
      <c r="J1128" s="18"/>
      <c r="K1128" s="18"/>
      <c r="L1128" s="18"/>
      <c r="M1128" s="18"/>
      <c r="N1128" s="18"/>
      <c r="O1128" s="18"/>
      <c r="P1128" s="18"/>
      <c r="Q1128" s="18"/>
    </row>
    <row r="1129" spans="6:17">
      <c r="F1129" s="18"/>
      <c r="G1129" s="18"/>
      <c r="H1129" s="18"/>
      <c r="I1129" s="18"/>
      <c r="J1129" s="18"/>
      <c r="K1129" s="18"/>
      <c r="L1129" s="18"/>
      <c r="M1129" s="18"/>
      <c r="N1129" s="18"/>
      <c r="O1129" s="18"/>
      <c r="P1129" s="18"/>
      <c r="Q1129" s="18"/>
    </row>
    <row r="1130" spans="6:17">
      <c r="F1130" s="18"/>
      <c r="G1130" s="18"/>
      <c r="H1130" s="18"/>
      <c r="I1130" s="18"/>
      <c r="J1130" s="18"/>
      <c r="K1130" s="18"/>
      <c r="L1130" s="18"/>
      <c r="M1130" s="18"/>
      <c r="N1130" s="18"/>
      <c r="O1130" s="18"/>
      <c r="P1130" s="18"/>
      <c r="Q1130" s="18"/>
    </row>
    <row r="1131" spans="6:17">
      <c r="F1131" s="18"/>
      <c r="G1131" s="18"/>
      <c r="H1131" s="18"/>
      <c r="I1131" s="18"/>
      <c r="J1131" s="18"/>
      <c r="K1131" s="18"/>
      <c r="L1131" s="18"/>
      <c r="M1131" s="18"/>
      <c r="N1131" s="18"/>
      <c r="O1131" s="18"/>
      <c r="P1131" s="18"/>
      <c r="Q1131" s="18"/>
    </row>
    <row r="1132" spans="6:17">
      <c r="F1132" s="18"/>
      <c r="G1132" s="18"/>
      <c r="H1132" s="18"/>
      <c r="I1132" s="18"/>
      <c r="J1132" s="18"/>
      <c r="K1132" s="18"/>
      <c r="L1132" s="18"/>
      <c r="M1132" s="18"/>
      <c r="N1132" s="18"/>
      <c r="O1132" s="18"/>
      <c r="P1132" s="18"/>
      <c r="Q1132" s="18"/>
    </row>
    <row r="1133" spans="6:17">
      <c r="F1133" s="18"/>
      <c r="G1133" s="18"/>
      <c r="H1133" s="18"/>
      <c r="I1133" s="18"/>
      <c r="J1133" s="18"/>
      <c r="K1133" s="18"/>
      <c r="L1133" s="18"/>
      <c r="M1133" s="18"/>
      <c r="N1133" s="18"/>
      <c r="O1133" s="18"/>
      <c r="P1133" s="18"/>
      <c r="Q1133" s="18"/>
    </row>
    <row r="1134" spans="6:17">
      <c r="F1134" s="18"/>
      <c r="G1134" s="18"/>
      <c r="H1134" s="18"/>
      <c r="I1134" s="18"/>
      <c r="J1134" s="18"/>
      <c r="K1134" s="18"/>
      <c r="L1134" s="18"/>
      <c r="M1134" s="18"/>
      <c r="N1134" s="18"/>
      <c r="O1134" s="18"/>
      <c r="P1134" s="18"/>
      <c r="Q1134" s="18"/>
    </row>
    <row r="1135" spans="6:17">
      <c r="F1135" s="18"/>
      <c r="G1135" s="18"/>
      <c r="H1135" s="18"/>
      <c r="I1135" s="18"/>
      <c r="J1135" s="18"/>
      <c r="K1135" s="18"/>
      <c r="L1135" s="18"/>
      <c r="M1135" s="18"/>
      <c r="N1135" s="18"/>
      <c r="O1135" s="18"/>
      <c r="P1135" s="18"/>
      <c r="Q1135" s="18"/>
    </row>
    <row r="1136" spans="6:17">
      <c r="F1136" s="18"/>
      <c r="G1136" s="18"/>
      <c r="H1136" s="18"/>
      <c r="I1136" s="18"/>
      <c r="J1136" s="18"/>
      <c r="K1136" s="18"/>
      <c r="L1136" s="18"/>
      <c r="M1136" s="18"/>
      <c r="N1136" s="18"/>
      <c r="O1136" s="18"/>
      <c r="P1136" s="18"/>
      <c r="Q1136" s="18"/>
    </row>
    <row r="1137" spans="6:17">
      <c r="F1137" s="18"/>
      <c r="G1137" s="18"/>
      <c r="H1137" s="18"/>
      <c r="I1137" s="18"/>
      <c r="J1137" s="18"/>
      <c r="K1137" s="18"/>
      <c r="L1137" s="18"/>
      <c r="M1137" s="18"/>
      <c r="N1137" s="18"/>
      <c r="O1137" s="18"/>
      <c r="P1137" s="18"/>
      <c r="Q1137" s="18"/>
    </row>
    <row r="1138" spans="6:17">
      <c r="F1138" s="18"/>
      <c r="G1138" s="18"/>
      <c r="H1138" s="18"/>
      <c r="I1138" s="18"/>
      <c r="J1138" s="18"/>
      <c r="K1138" s="18"/>
      <c r="L1138" s="18"/>
      <c r="M1138" s="18"/>
      <c r="N1138" s="18"/>
      <c r="O1138" s="18"/>
      <c r="P1138" s="18"/>
      <c r="Q1138" s="18"/>
    </row>
    <row r="1139" spans="6:17">
      <c r="F1139" s="18"/>
      <c r="G1139" s="18"/>
      <c r="H1139" s="18"/>
      <c r="I1139" s="18"/>
      <c r="J1139" s="18"/>
      <c r="K1139" s="18"/>
      <c r="L1139" s="18"/>
      <c r="M1139" s="18"/>
      <c r="N1139" s="18"/>
      <c r="O1139" s="18"/>
      <c r="P1139" s="18"/>
      <c r="Q1139" s="18"/>
    </row>
    <row r="1140" spans="6:17">
      <c r="F1140" s="18"/>
      <c r="G1140" s="18"/>
      <c r="H1140" s="18"/>
      <c r="I1140" s="18"/>
      <c r="J1140" s="18"/>
      <c r="K1140" s="18"/>
      <c r="L1140" s="18"/>
      <c r="M1140" s="18"/>
      <c r="N1140" s="18"/>
      <c r="O1140" s="18"/>
      <c r="P1140" s="18"/>
      <c r="Q1140" s="18"/>
    </row>
    <row r="1141" spans="6:17">
      <c r="F1141" s="18"/>
      <c r="G1141" s="18"/>
      <c r="H1141" s="18"/>
      <c r="I1141" s="18"/>
      <c r="J1141" s="18"/>
      <c r="K1141" s="18"/>
      <c r="L1141" s="18"/>
      <c r="M1141" s="18"/>
      <c r="N1141" s="18"/>
      <c r="O1141" s="18"/>
      <c r="P1141" s="18"/>
      <c r="Q1141" s="18"/>
    </row>
    <row r="1142" spans="6:17">
      <c r="F1142" s="18"/>
      <c r="G1142" s="18"/>
      <c r="H1142" s="18"/>
      <c r="I1142" s="18"/>
      <c r="J1142" s="18"/>
      <c r="K1142" s="18"/>
      <c r="L1142" s="18"/>
      <c r="M1142" s="18"/>
      <c r="N1142" s="18"/>
      <c r="O1142" s="18"/>
      <c r="P1142" s="18"/>
      <c r="Q1142" s="18"/>
    </row>
    <row r="1143" spans="6:17">
      <c r="F1143" s="18"/>
      <c r="G1143" s="18"/>
      <c r="H1143" s="18"/>
      <c r="I1143" s="18"/>
      <c r="J1143" s="18"/>
      <c r="K1143" s="18"/>
      <c r="L1143" s="18"/>
      <c r="M1143" s="18"/>
      <c r="N1143" s="18"/>
      <c r="O1143" s="18"/>
      <c r="P1143" s="18"/>
      <c r="Q1143" s="18"/>
    </row>
    <row r="1144" spans="6:17">
      <c r="F1144" s="18"/>
      <c r="G1144" s="18"/>
      <c r="H1144" s="18"/>
      <c r="I1144" s="18"/>
      <c r="J1144" s="18"/>
      <c r="K1144" s="18"/>
      <c r="L1144" s="18"/>
      <c r="M1144" s="18"/>
      <c r="N1144" s="18"/>
      <c r="O1144" s="18"/>
      <c r="P1144" s="18"/>
      <c r="Q1144" s="18"/>
    </row>
    <row r="1145" spans="6:17">
      <c r="F1145" s="18"/>
      <c r="G1145" s="18"/>
      <c r="H1145" s="18"/>
      <c r="I1145" s="18"/>
      <c r="J1145" s="18"/>
      <c r="K1145" s="18"/>
      <c r="L1145" s="18"/>
      <c r="M1145" s="18"/>
      <c r="N1145" s="18"/>
      <c r="O1145" s="18"/>
      <c r="P1145" s="18"/>
      <c r="Q1145" s="18"/>
    </row>
    <row r="1146" spans="6:17">
      <c r="F1146" s="18"/>
      <c r="G1146" s="18"/>
      <c r="H1146" s="18"/>
      <c r="I1146" s="18"/>
      <c r="J1146" s="18"/>
      <c r="K1146" s="18"/>
      <c r="L1146" s="18"/>
      <c r="M1146" s="18"/>
      <c r="N1146" s="18"/>
      <c r="O1146" s="18"/>
      <c r="P1146" s="18"/>
      <c r="Q1146" s="18"/>
    </row>
    <row r="1147" spans="6:17">
      <c r="F1147" s="18"/>
      <c r="G1147" s="18"/>
      <c r="H1147" s="18"/>
      <c r="I1147" s="18"/>
      <c r="J1147" s="18"/>
      <c r="K1147" s="18"/>
      <c r="L1147" s="18"/>
      <c r="M1147" s="18"/>
      <c r="N1147" s="18"/>
      <c r="O1147" s="18"/>
      <c r="P1147" s="18"/>
      <c r="Q1147" s="18"/>
    </row>
    <row r="1148" spans="6:17">
      <c r="F1148" s="18"/>
      <c r="G1148" s="18"/>
      <c r="H1148" s="18"/>
      <c r="I1148" s="18"/>
      <c r="J1148" s="18"/>
      <c r="K1148" s="18"/>
      <c r="L1148" s="18"/>
      <c r="M1148" s="18"/>
      <c r="N1148" s="18"/>
      <c r="O1148" s="18"/>
      <c r="P1148" s="18"/>
      <c r="Q1148" s="18"/>
    </row>
    <row r="1149" spans="6:17">
      <c r="F1149" s="18"/>
      <c r="G1149" s="18"/>
      <c r="H1149" s="18"/>
      <c r="I1149" s="18"/>
      <c r="J1149" s="18"/>
      <c r="K1149" s="18"/>
      <c r="L1149" s="18"/>
      <c r="M1149" s="18"/>
      <c r="N1149" s="18"/>
      <c r="O1149" s="18"/>
      <c r="P1149" s="18"/>
      <c r="Q1149" s="18"/>
    </row>
    <row r="1150" spans="6:17">
      <c r="F1150" s="18"/>
      <c r="G1150" s="18"/>
      <c r="H1150" s="18"/>
      <c r="I1150" s="18"/>
      <c r="J1150" s="18"/>
      <c r="K1150" s="18"/>
      <c r="L1150" s="18"/>
      <c r="M1150" s="18"/>
      <c r="N1150" s="18"/>
      <c r="O1150" s="18"/>
      <c r="P1150" s="18"/>
      <c r="Q1150" s="18"/>
    </row>
    <row r="1151" spans="6:17">
      <c r="F1151" s="18"/>
      <c r="G1151" s="18"/>
      <c r="H1151" s="18"/>
      <c r="I1151" s="18"/>
      <c r="J1151" s="18"/>
      <c r="K1151" s="18"/>
      <c r="L1151" s="18"/>
      <c r="M1151" s="18"/>
      <c r="N1151" s="18"/>
      <c r="O1151" s="18"/>
      <c r="P1151" s="18"/>
      <c r="Q1151" s="18"/>
    </row>
    <row r="1152" spans="6:17">
      <c r="F1152" s="18"/>
      <c r="G1152" s="18"/>
      <c r="H1152" s="18"/>
      <c r="I1152" s="18"/>
      <c r="J1152" s="18"/>
      <c r="K1152" s="18"/>
      <c r="L1152" s="18"/>
      <c r="M1152" s="18"/>
      <c r="N1152" s="18"/>
      <c r="O1152" s="18"/>
      <c r="P1152" s="18"/>
      <c r="Q1152" s="18"/>
    </row>
    <row r="1153" spans="6:17">
      <c r="F1153" s="18"/>
      <c r="G1153" s="18"/>
      <c r="H1153" s="18"/>
      <c r="I1153" s="18"/>
      <c r="J1153" s="18"/>
      <c r="K1153" s="18"/>
      <c r="L1153" s="18"/>
      <c r="M1153" s="18"/>
      <c r="N1153" s="18"/>
      <c r="O1153" s="18"/>
      <c r="P1153" s="18"/>
      <c r="Q1153" s="18"/>
    </row>
    <row r="1154" spans="6:17">
      <c r="F1154" s="18"/>
      <c r="G1154" s="18"/>
      <c r="H1154" s="18"/>
      <c r="I1154" s="18"/>
      <c r="J1154" s="18"/>
      <c r="K1154" s="18"/>
      <c r="L1154" s="18"/>
      <c r="M1154" s="18"/>
      <c r="N1154" s="18"/>
      <c r="O1154" s="18"/>
      <c r="P1154" s="18"/>
      <c r="Q1154" s="18"/>
    </row>
    <row r="1155" spans="6:17">
      <c r="F1155" s="18"/>
      <c r="G1155" s="18"/>
      <c r="H1155" s="18"/>
      <c r="I1155" s="18"/>
      <c r="J1155" s="18"/>
      <c r="K1155" s="18"/>
      <c r="L1155" s="18"/>
      <c r="M1155" s="18"/>
      <c r="N1155" s="18"/>
      <c r="O1155" s="18"/>
      <c r="P1155" s="18"/>
      <c r="Q1155" s="18"/>
    </row>
    <row r="1156" spans="6:17">
      <c r="F1156" s="18"/>
      <c r="G1156" s="18"/>
      <c r="H1156" s="18"/>
      <c r="I1156" s="18"/>
      <c r="J1156" s="18"/>
      <c r="K1156" s="18"/>
      <c r="L1156" s="18"/>
      <c r="M1156" s="18"/>
      <c r="N1156" s="18"/>
      <c r="O1156" s="18"/>
      <c r="P1156" s="18"/>
      <c r="Q1156" s="18"/>
    </row>
    <row r="1157" spans="6:17">
      <c r="F1157" s="18"/>
      <c r="G1157" s="18"/>
      <c r="H1157" s="18"/>
      <c r="I1157" s="18"/>
      <c r="J1157" s="18"/>
      <c r="K1157" s="18"/>
      <c r="L1157" s="18"/>
      <c r="M1157" s="18"/>
      <c r="N1157" s="18"/>
      <c r="O1157" s="18"/>
      <c r="P1157" s="18"/>
      <c r="Q1157" s="18"/>
    </row>
    <row r="1158" spans="6:17">
      <c r="F1158" s="18"/>
      <c r="G1158" s="18"/>
      <c r="H1158" s="18"/>
      <c r="I1158" s="18"/>
      <c r="J1158" s="18"/>
      <c r="K1158" s="18"/>
      <c r="L1158" s="18"/>
      <c r="M1158" s="18"/>
      <c r="N1158" s="18"/>
      <c r="O1158" s="18"/>
      <c r="P1158" s="18"/>
      <c r="Q1158" s="18"/>
    </row>
    <row r="1159" spans="6:17">
      <c r="F1159" s="18"/>
      <c r="G1159" s="18"/>
      <c r="H1159" s="18"/>
      <c r="I1159" s="18"/>
      <c r="J1159" s="18"/>
      <c r="K1159" s="18"/>
      <c r="L1159" s="18"/>
      <c r="M1159" s="18"/>
      <c r="N1159" s="18"/>
      <c r="O1159" s="18"/>
      <c r="P1159" s="18"/>
      <c r="Q1159" s="18"/>
    </row>
    <row r="1160" spans="6:17">
      <c r="F1160" s="18"/>
      <c r="G1160" s="18"/>
      <c r="H1160" s="18"/>
      <c r="I1160" s="18"/>
      <c r="J1160" s="18"/>
      <c r="K1160" s="18"/>
      <c r="L1160" s="18"/>
      <c r="M1160" s="18"/>
      <c r="N1160" s="18"/>
      <c r="O1160" s="18"/>
      <c r="P1160" s="18"/>
      <c r="Q1160" s="18"/>
    </row>
    <row r="1161" spans="6:17">
      <c r="F1161" s="18"/>
      <c r="G1161" s="18"/>
      <c r="H1161" s="18"/>
      <c r="I1161" s="18"/>
      <c r="J1161" s="18"/>
      <c r="K1161" s="18"/>
      <c r="L1161" s="18"/>
      <c r="M1161" s="18"/>
      <c r="N1161" s="18"/>
      <c r="O1161" s="18"/>
      <c r="P1161" s="18"/>
      <c r="Q1161" s="18"/>
    </row>
    <row r="1162" spans="6:17">
      <c r="F1162" s="18"/>
      <c r="G1162" s="18"/>
      <c r="H1162" s="18"/>
      <c r="I1162" s="18"/>
      <c r="J1162" s="18"/>
      <c r="K1162" s="18"/>
      <c r="L1162" s="18"/>
      <c r="M1162" s="18"/>
      <c r="N1162" s="18"/>
      <c r="O1162" s="18"/>
      <c r="P1162" s="18"/>
      <c r="Q1162" s="18"/>
    </row>
    <row r="1163" spans="6:17">
      <c r="F1163" s="18"/>
      <c r="G1163" s="18"/>
      <c r="H1163" s="18"/>
      <c r="I1163" s="18"/>
      <c r="J1163" s="18"/>
      <c r="K1163" s="18"/>
      <c r="L1163" s="18"/>
      <c r="M1163" s="18"/>
      <c r="N1163" s="18"/>
      <c r="O1163" s="18"/>
      <c r="P1163" s="18"/>
      <c r="Q1163" s="18"/>
    </row>
    <row r="1164" spans="6:17">
      <c r="F1164" s="18"/>
      <c r="G1164" s="18"/>
      <c r="H1164" s="18"/>
      <c r="I1164" s="18"/>
      <c r="J1164" s="18"/>
      <c r="K1164" s="18"/>
      <c r="L1164" s="18"/>
      <c r="M1164" s="18"/>
      <c r="N1164" s="18"/>
      <c r="O1164" s="18"/>
      <c r="P1164" s="18"/>
      <c r="Q1164" s="18"/>
    </row>
    <row r="1165" spans="6:17">
      <c r="F1165" s="18"/>
      <c r="G1165" s="18"/>
      <c r="H1165" s="18"/>
      <c r="I1165" s="18"/>
      <c r="J1165" s="18"/>
      <c r="K1165" s="18"/>
      <c r="L1165" s="18"/>
      <c r="M1165" s="18"/>
      <c r="N1165" s="18"/>
      <c r="O1165" s="18"/>
      <c r="P1165" s="18"/>
      <c r="Q1165" s="18"/>
    </row>
    <row r="1166" spans="6:17">
      <c r="F1166" s="18"/>
      <c r="G1166" s="18"/>
      <c r="H1166" s="18"/>
      <c r="I1166" s="18"/>
      <c r="J1166" s="18"/>
      <c r="K1166" s="18"/>
      <c r="L1166" s="18"/>
      <c r="M1166" s="18"/>
      <c r="N1166" s="18"/>
      <c r="O1166" s="18"/>
      <c r="P1166" s="18"/>
      <c r="Q1166" s="18"/>
    </row>
    <row r="1167" spans="6:17">
      <c r="F1167" s="18"/>
      <c r="G1167" s="18"/>
      <c r="H1167" s="18"/>
      <c r="I1167" s="18"/>
      <c r="J1167" s="18"/>
      <c r="K1167" s="18"/>
      <c r="L1167" s="18"/>
      <c r="M1167" s="18"/>
      <c r="N1167" s="18"/>
      <c r="O1167" s="18"/>
      <c r="P1167" s="18"/>
      <c r="Q1167" s="18"/>
    </row>
    <row r="1168" spans="6:17">
      <c r="F1168" s="18"/>
      <c r="G1168" s="18"/>
      <c r="H1168" s="18"/>
      <c r="I1168" s="18"/>
      <c r="J1168" s="18"/>
      <c r="K1168" s="18"/>
      <c r="L1168" s="18"/>
      <c r="M1168" s="18"/>
      <c r="N1168" s="18"/>
      <c r="O1168" s="18"/>
      <c r="P1168" s="18"/>
      <c r="Q1168" s="18"/>
    </row>
    <row r="1169" spans="6:17">
      <c r="F1169" s="18"/>
      <c r="G1169" s="18"/>
      <c r="H1169" s="18"/>
      <c r="I1169" s="18"/>
      <c r="J1169" s="18"/>
      <c r="K1169" s="18"/>
      <c r="L1169" s="18"/>
      <c r="M1169" s="18"/>
      <c r="N1169" s="18"/>
      <c r="O1169" s="18"/>
      <c r="P1169" s="18"/>
      <c r="Q1169" s="18"/>
    </row>
    <row r="1170" spans="6:17">
      <c r="F1170" s="18"/>
      <c r="G1170" s="18"/>
      <c r="H1170" s="18"/>
      <c r="I1170" s="18"/>
      <c r="J1170" s="18"/>
      <c r="K1170" s="18"/>
      <c r="L1170" s="18"/>
      <c r="M1170" s="18"/>
      <c r="N1170" s="18"/>
      <c r="O1170" s="18"/>
      <c r="P1170" s="18"/>
      <c r="Q1170" s="18"/>
    </row>
    <row r="1171" spans="6:17">
      <c r="F1171" s="18"/>
      <c r="G1171" s="18"/>
      <c r="H1171" s="18"/>
      <c r="I1171" s="18"/>
      <c r="J1171" s="18"/>
      <c r="K1171" s="18"/>
      <c r="L1171" s="18"/>
      <c r="M1171" s="18"/>
      <c r="N1171" s="18"/>
      <c r="O1171" s="18"/>
      <c r="P1171" s="18"/>
      <c r="Q1171" s="18"/>
    </row>
    <row r="1172" spans="6:17">
      <c r="F1172" s="18"/>
      <c r="G1172" s="18"/>
      <c r="H1172" s="18"/>
      <c r="I1172" s="18"/>
      <c r="J1172" s="18"/>
      <c r="K1172" s="18"/>
      <c r="L1172" s="18"/>
      <c r="M1172" s="18"/>
      <c r="N1172" s="18"/>
      <c r="O1172" s="18"/>
      <c r="P1172" s="18"/>
      <c r="Q1172" s="18"/>
    </row>
    <row r="1173" spans="6:17">
      <c r="F1173" s="18"/>
      <c r="G1173" s="18"/>
      <c r="H1173" s="18"/>
      <c r="I1173" s="18"/>
      <c r="J1173" s="18"/>
      <c r="K1173" s="18"/>
      <c r="L1173" s="18"/>
      <c r="M1173" s="18"/>
      <c r="N1173" s="18"/>
      <c r="O1173" s="18"/>
      <c r="P1173" s="18"/>
      <c r="Q1173" s="18"/>
    </row>
    <row r="1174" spans="6:17">
      <c r="F1174" s="18"/>
      <c r="G1174" s="18"/>
      <c r="H1174" s="18"/>
      <c r="I1174" s="18"/>
      <c r="J1174" s="18"/>
      <c r="K1174" s="18"/>
      <c r="L1174" s="18"/>
      <c r="M1174" s="18"/>
      <c r="N1174" s="18"/>
      <c r="O1174" s="18"/>
      <c r="P1174" s="18"/>
      <c r="Q1174" s="18"/>
    </row>
    <row r="1175" spans="6:17">
      <c r="F1175" s="18"/>
      <c r="G1175" s="18"/>
      <c r="H1175" s="18"/>
      <c r="I1175" s="18"/>
      <c r="J1175" s="18"/>
      <c r="K1175" s="18"/>
      <c r="L1175" s="18"/>
      <c r="M1175" s="18"/>
      <c r="N1175" s="18"/>
      <c r="O1175" s="18"/>
      <c r="P1175" s="18"/>
      <c r="Q1175" s="18"/>
    </row>
    <row r="1176" spans="6:17">
      <c r="F1176" s="18"/>
      <c r="G1176" s="18"/>
      <c r="H1176" s="18"/>
      <c r="I1176" s="18"/>
      <c r="J1176" s="18"/>
      <c r="K1176" s="18"/>
      <c r="L1176" s="18"/>
      <c r="M1176" s="18"/>
      <c r="N1176" s="18"/>
      <c r="O1176" s="18"/>
      <c r="P1176" s="18"/>
      <c r="Q1176" s="18"/>
    </row>
    <row r="1177" spans="6:17">
      <c r="F1177" s="18"/>
      <c r="G1177" s="18"/>
      <c r="H1177" s="18"/>
      <c r="I1177" s="18"/>
      <c r="J1177" s="18"/>
      <c r="K1177" s="18"/>
      <c r="L1177" s="18"/>
      <c r="M1177" s="18"/>
      <c r="N1177" s="18"/>
      <c r="O1177" s="18"/>
      <c r="P1177" s="18"/>
      <c r="Q1177" s="18"/>
    </row>
    <row r="1178" spans="6:17">
      <c r="F1178" s="18"/>
      <c r="G1178" s="18"/>
      <c r="H1178" s="18"/>
      <c r="I1178" s="18"/>
      <c r="J1178" s="18"/>
      <c r="K1178" s="18"/>
      <c r="L1178" s="18"/>
      <c r="M1178" s="18"/>
      <c r="N1178" s="18"/>
      <c r="O1178" s="18"/>
      <c r="P1178" s="18"/>
      <c r="Q1178" s="18"/>
    </row>
    <row r="1179" spans="6:17">
      <c r="F1179" s="18"/>
      <c r="G1179" s="18"/>
      <c r="H1179" s="18"/>
      <c r="I1179" s="18"/>
      <c r="J1179" s="18"/>
      <c r="K1179" s="18"/>
      <c r="L1179" s="18"/>
      <c r="M1179" s="18"/>
      <c r="N1179" s="18"/>
      <c r="O1179" s="18"/>
      <c r="P1179" s="18"/>
      <c r="Q1179" s="18"/>
    </row>
    <row r="1180" spans="6:17">
      <c r="F1180" s="18"/>
      <c r="G1180" s="18"/>
      <c r="H1180" s="18"/>
      <c r="I1180" s="18"/>
      <c r="J1180" s="18"/>
      <c r="K1180" s="18"/>
      <c r="L1180" s="18"/>
      <c r="M1180" s="18"/>
      <c r="N1180" s="18"/>
      <c r="O1180" s="18"/>
      <c r="P1180" s="18"/>
      <c r="Q1180" s="18"/>
    </row>
    <row r="1181" spans="6:17">
      <c r="F1181" s="18"/>
      <c r="G1181" s="18"/>
      <c r="H1181" s="18"/>
      <c r="I1181" s="18"/>
      <c r="J1181" s="18"/>
      <c r="K1181" s="18"/>
      <c r="L1181" s="18"/>
      <c r="M1181" s="18"/>
      <c r="N1181" s="18"/>
      <c r="O1181" s="18"/>
      <c r="P1181" s="18"/>
      <c r="Q1181" s="18"/>
    </row>
    <row r="1182" spans="6:17">
      <c r="F1182" s="18"/>
      <c r="G1182" s="18"/>
      <c r="H1182" s="18"/>
      <c r="I1182" s="18"/>
      <c r="J1182" s="18"/>
      <c r="K1182" s="18"/>
      <c r="L1182" s="18"/>
      <c r="M1182" s="18"/>
      <c r="N1182" s="18"/>
      <c r="O1182" s="18"/>
      <c r="P1182" s="18"/>
      <c r="Q1182" s="18"/>
    </row>
    <row r="1183" spans="6:17">
      <c r="F1183" s="18"/>
      <c r="G1183" s="18"/>
      <c r="H1183" s="18"/>
      <c r="I1183" s="18"/>
      <c r="J1183" s="18"/>
      <c r="K1183" s="18"/>
      <c r="L1183" s="18"/>
      <c r="M1183" s="18"/>
      <c r="N1183" s="18"/>
      <c r="O1183" s="18"/>
      <c r="P1183" s="18"/>
      <c r="Q1183" s="18"/>
    </row>
    <row r="1184" spans="6:17">
      <c r="F1184" s="18"/>
      <c r="G1184" s="18"/>
      <c r="H1184" s="18"/>
      <c r="I1184" s="18"/>
      <c r="J1184" s="18"/>
      <c r="K1184" s="18"/>
      <c r="L1184" s="18"/>
      <c r="M1184" s="18"/>
      <c r="N1184" s="18"/>
      <c r="O1184" s="18"/>
      <c r="P1184" s="18"/>
      <c r="Q1184" s="18"/>
    </row>
    <row r="1185" spans="6:17">
      <c r="F1185" s="18"/>
      <c r="G1185" s="18"/>
      <c r="H1185" s="18"/>
      <c r="I1185" s="18"/>
      <c r="J1185" s="18"/>
      <c r="K1185" s="18"/>
      <c r="L1185" s="18"/>
      <c r="M1185" s="18"/>
      <c r="N1185" s="18"/>
      <c r="O1185" s="18"/>
      <c r="P1185" s="18"/>
      <c r="Q1185" s="18"/>
    </row>
    <row r="1186" spans="6:17">
      <c r="F1186" s="18"/>
      <c r="G1186" s="18"/>
      <c r="H1186" s="18"/>
      <c r="I1186" s="18"/>
      <c r="J1186" s="18"/>
      <c r="K1186" s="18"/>
      <c r="L1186" s="18"/>
      <c r="M1186" s="18"/>
      <c r="N1186" s="18"/>
      <c r="O1186" s="18"/>
      <c r="P1186" s="18"/>
      <c r="Q1186" s="18"/>
    </row>
    <row r="1187" spans="6:17">
      <c r="F1187" s="18"/>
      <c r="G1187" s="18"/>
      <c r="H1187" s="18"/>
      <c r="I1187" s="18"/>
      <c r="J1187" s="18"/>
      <c r="K1187" s="18"/>
      <c r="L1187" s="18"/>
      <c r="M1187" s="18"/>
      <c r="N1187" s="18"/>
      <c r="O1187" s="18"/>
      <c r="P1187" s="18"/>
      <c r="Q1187" s="18"/>
    </row>
    <row r="1188" spans="6:17">
      <c r="F1188" s="18"/>
      <c r="G1188" s="18"/>
      <c r="H1188" s="18"/>
      <c r="I1188" s="18"/>
      <c r="J1188" s="18"/>
      <c r="K1188" s="18"/>
      <c r="L1188" s="18"/>
      <c r="M1188" s="18"/>
      <c r="N1188" s="18"/>
      <c r="O1188" s="18"/>
      <c r="P1188" s="18"/>
      <c r="Q1188" s="18"/>
    </row>
    <row r="1189" spans="6:17">
      <c r="F1189" s="18"/>
      <c r="G1189" s="18"/>
      <c r="H1189" s="18"/>
      <c r="I1189" s="18"/>
      <c r="J1189" s="18"/>
      <c r="K1189" s="18"/>
      <c r="L1189" s="18"/>
      <c r="M1189" s="18"/>
      <c r="N1189" s="18"/>
      <c r="O1189" s="18"/>
      <c r="P1189" s="18"/>
      <c r="Q1189" s="18"/>
    </row>
    <row r="1190" spans="6:17">
      <c r="F1190" s="18"/>
      <c r="G1190" s="18"/>
      <c r="H1190" s="18"/>
      <c r="I1190" s="18"/>
      <c r="J1190" s="18"/>
      <c r="K1190" s="18"/>
      <c r="L1190" s="18"/>
      <c r="M1190" s="18"/>
      <c r="N1190" s="18"/>
      <c r="O1190" s="18"/>
      <c r="P1190" s="18"/>
      <c r="Q1190" s="18"/>
    </row>
    <row r="1191" spans="6:17">
      <c r="F1191" s="18"/>
      <c r="G1191" s="18"/>
      <c r="H1191" s="18"/>
      <c r="I1191" s="18"/>
      <c r="J1191" s="18"/>
      <c r="K1191" s="18"/>
      <c r="L1191" s="18"/>
      <c r="M1191" s="18"/>
      <c r="N1191" s="18"/>
      <c r="O1191" s="18"/>
      <c r="P1191" s="18"/>
      <c r="Q1191" s="18"/>
    </row>
    <row r="1192" spans="6:17">
      <c r="F1192" s="18"/>
      <c r="G1192" s="18"/>
      <c r="H1192" s="18"/>
      <c r="I1192" s="18"/>
      <c r="J1192" s="18"/>
      <c r="K1192" s="18"/>
      <c r="L1192" s="18"/>
      <c r="M1192" s="18"/>
      <c r="N1192" s="18"/>
      <c r="O1192" s="18"/>
      <c r="P1192" s="18"/>
      <c r="Q1192" s="18"/>
    </row>
    <row r="1193" spans="6:17">
      <c r="F1193" s="18"/>
      <c r="G1193" s="18"/>
      <c r="H1193" s="18"/>
      <c r="I1193" s="18"/>
      <c r="J1193" s="18"/>
      <c r="K1193" s="18"/>
      <c r="L1193" s="18"/>
      <c r="M1193" s="18"/>
      <c r="N1193" s="18"/>
      <c r="O1193" s="18"/>
      <c r="P1193" s="18"/>
      <c r="Q1193" s="18"/>
    </row>
    <row r="1194" spans="6:17">
      <c r="F1194" s="18"/>
      <c r="G1194" s="18"/>
      <c r="H1194" s="18"/>
      <c r="I1194" s="18"/>
      <c r="J1194" s="18"/>
      <c r="K1194" s="18"/>
      <c r="L1194" s="18"/>
      <c r="M1194" s="18"/>
      <c r="N1194" s="18"/>
      <c r="O1194" s="18"/>
      <c r="P1194" s="18"/>
      <c r="Q1194" s="18"/>
    </row>
    <row r="1195" spans="6:17">
      <c r="F1195" s="18"/>
      <c r="G1195" s="18"/>
      <c r="H1195" s="18"/>
      <c r="I1195" s="18"/>
      <c r="J1195" s="18"/>
      <c r="K1195" s="18"/>
      <c r="L1195" s="18"/>
      <c r="M1195" s="18"/>
      <c r="N1195" s="18"/>
      <c r="O1195" s="18"/>
      <c r="P1195" s="18"/>
      <c r="Q1195" s="18"/>
    </row>
    <row r="1196" spans="6:17">
      <c r="F1196" s="18"/>
      <c r="G1196" s="18"/>
      <c r="H1196" s="18"/>
      <c r="I1196" s="18"/>
      <c r="J1196" s="18"/>
      <c r="K1196" s="18"/>
      <c r="L1196" s="18"/>
      <c r="M1196" s="18"/>
      <c r="N1196" s="18"/>
      <c r="O1196" s="18"/>
      <c r="P1196" s="18"/>
      <c r="Q1196" s="18"/>
    </row>
    <row r="1197" spans="6:17">
      <c r="F1197" s="18"/>
      <c r="G1197" s="18"/>
      <c r="H1197" s="18"/>
      <c r="I1197" s="18"/>
      <c r="J1197" s="18"/>
      <c r="K1197" s="18"/>
      <c r="L1197" s="18"/>
      <c r="M1197" s="18"/>
      <c r="N1197" s="18"/>
      <c r="O1197" s="18"/>
      <c r="P1197" s="18"/>
      <c r="Q1197" s="18"/>
    </row>
    <row r="1198" spans="6:17">
      <c r="F1198" s="18"/>
      <c r="G1198" s="18"/>
      <c r="H1198" s="18"/>
      <c r="I1198" s="18"/>
      <c r="J1198" s="18"/>
      <c r="K1198" s="18"/>
      <c r="L1198" s="18"/>
      <c r="M1198" s="18"/>
      <c r="N1198" s="18"/>
      <c r="O1198" s="18"/>
      <c r="P1198" s="18"/>
      <c r="Q1198" s="18"/>
    </row>
    <row r="1199" spans="6:17">
      <c r="F1199" s="18"/>
      <c r="G1199" s="18"/>
      <c r="H1199" s="18"/>
      <c r="I1199" s="18"/>
      <c r="J1199" s="18"/>
      <c r="K1199" s="18"/>
      <c r="L1199" s="18"/>
      <c r="M1199" s="18"/>
      <c r="N1199" s="18"/>
      <c r="O1199" s="18"/>
      <c r="P1199" s="18"/>
      <c r="Q1199" s="18"/>
    </row>
    <row r="1200" spans="6:17">
      <c r="F1200" s="18"/>
      <c r="G1200" s="18"/>
      <c r="H1200" s="18"/>
      <c r="I1200" s="18"/>
      <c r="J1200" s="18"/>
      <c r="K1200" s="18"/>
      <c r="L1200" s="18"/>
      <c r="M1200" s="18"/>
      <c r="N1200" s="18"/>
      <c r="O1200" s="18"/>
      <c r="P1200" s="18"/>
      <c r="Q1200" s="18"/>
    </row>
    <row r="1201" spans="6:17">
      <c r="F1201" s="18"/>
      <c r="G1201" s="18"/>
      <c r="H1201" s="18"/>
      <c r="I1201" s="18"/>
      <c r="J1201" s="18"/>
      <c r="K1201" s="18"/>
      <c r="L1201" s="18"/>
      <c r="M1201" s="18"/>
      <c r="N1201" s="18"/>
      <c r="O1201" s="18"/>
      <c r="P1201" s="18"/>
      <c r="Q1201" s="18"/>
    </row>
    <row r="1202" spans="6:17">
      <c r="F1202" s="18"/>
      <c r="G1202" s="18"/>
      <c r="H1202" s="18"/>
      <c r="I1202" s="18"/>
      <c r="J1202" s="18"/>
      <c r="K1202" s="18"/>
      <c r="L1202" s="18"/>
      <c r="M1202" s="18"/>
      <c r="N1202" s="18"/>
      <c r="O1202" s="18"/>
      <c r="P1202" s="18"/>
      <c r="Q1202" s="18"/>
    </row>
    <row r="1203" spans="6:17">
      <c r="F1203" s="18"/>
      <c r="G1203" s="18"/>
      <c r="H1203" s="18"/>
      <c r="I1203" s="18"/>
      <c r="J1203" s="18"/>
      <c r="K1203" s="18"/>
      <c r="L1203" s="18"/>
      <c r="M1203" s="18"/>
      <c r="N1203" s="18"/>
      <c r="O1203" s="18"/>
      <c r="P1203" s="18"/>
      <c r="Q1203" s="18"/>
    </row>
    <row r="1204" spans="6:17">
      <c r="F1204" s="18"/>
      <c r="G1204" s="18"/>
      <c r="H1204" s="18"/>
      <c r="I1204" s="18"/>
      <c r="J1204" s="18"/>
      <c r="K1204" s="18"/>
      <c r="L1204" s="18"/>
      <c r="M1204" s="18"/>
      <c r="N1204" s="18"/>
      <c r="O1204" s="18"/>
      <c r="P1204" s="18"/>
      <c r="Q1204" s="18"/>
    </row>
    <row r="1205" spans="6:17">
      <c r="F1205" s="18"/>
      <c r="G1205" s="18"/>
      <c r="H1205" s="18"/>
      <c r="I1205" s="18"/>
      <c r="J1205" s="18"/>
      <c r="K1205" s="18"/>
      <c r="L1205" s="18"/>
      <c r="M1205" s="18"/>
      <c r="N1205" s="18"/>
      <c r="O1205" s="18"/>
      <c r="P1205" s="18"/>
      <c r="Q1205" s="18"/>
    </row>
    <row r="1206" spans="6:17">
      <c r="F1206" s="18"/>
      <c r="G1206" s="18"/>
      <c r="H1206" s="18"/>
      <c r="I1206" s="18"/>
      <c r="J1206" s="18"/>
      <c r="K1206" s="18"/>
      <c r="L1206" s="18"/>
      <c r="M1206" s="18"/>
      <c r="N1206" s="18"/>
      <c r="O1206" s="18"/>
      <c r="P1206" s="18"/>
      <c r="Q1206" s="18"/>
    </row>
    <row r="1207" spans="6:17">
      <c r="F1207" s="18"/>
      <c r="G1207" s="18"/>
      <c r="H1207" s="18"/>
      <c r="I1207" s="18"/>
      <c r="J1207" s="18"/>
      <c r="K1207" s="18"/>
      <c r="L1207" s="18"/>
      <c r="M1207" s="18"/>
      <c r="N1207" s="18"/>
      <c r="O1207" s="18"/>
      <c r="P1207" s="18"/>
      <c r="Q1207" s="18"/>
    </row>
    <row r="1208" spans="6:17">
      <c r="F1208" s="18"/>
      <c r="G1208" s="18"/>
      <c r="H1208" s="18"/>
      <c r="I1208" s="18"/>
      <c r="J1208" s="18"/>
      <c r="K1208" s="18"/>
      <c r="L1208" s="18"/>
      <c r="M1208" s="18"/>
      <c r="N1208" s="18"/>
      <c r="O1208" s="18"/>
      <c r="P1208" s="18"/>
      <c r="Q1208" s="18"/>
    </row>
    <row r="1209" spans="6:17">
      <c r="F1209" s="18"/>
      <c r="G1209" s="18"/>
      <c r="H1209" s="18"/>
      <c r="I1209" s="18"/>
      <c r="J1209" s="18"/>
      <c r="K1209" s="18"/>
      <c r="L1209" s="18"/>
      <c r="M1209" s="18"/>
      <c r="N1209" s="18"/>
      <c r="O1209" s="18"/>
      <c r="P1209" s="18"/>
      <c r="Q1209" s="18"/>
    </row>
    <row r="1210" spans="6:17">
      <c r="F1210" s="18"/>
      <c r="G1210" s="18"/>
      <c r="H1210" s="18"/>
      <c r="I1210" s="18"/>
      <c r="J1210" s="18"/>
      <c r="K1210" s="18"/>
      <c r="L1210" s="18"/>
      <c r="M1210" s="18"/>
      <c r="N1210" s="18"/>
      <c r="O1210" s="18"/>
      <c r="P1210" s="18"/>
      <c r="Q1210" s="18"/>
    </row>
    <row r="1211" spans="6:17">
      <c r="F1211" s="18"/>
      <c r="G1211" s="18"/>
      <c r="H1211" s="18"/>
      <c r="I1211" s="18"/>
      <c r="J1211" s="18"/>
      <c r="K1211" s="18"/>
      <c r="L1211" s="18"/>
      <c r="M1211" s="18"/>
      <c r="N1211" s="18"/>
      <c r="O1211" s="18"/>
      <c r="P1211" s="18"/>
      <c r="Q1211" s="18"/>
    </row>
    <row r="1212" spans="6:17">
      <c r="F1212" s="18"/>
      <c r="G1212" s="18"/>
      <c r="H1212" s="18"/>
      <c r="I1212" s="18"/>
      <c r="J1212" s="18"/>
      <c r="K1212" s="18"/>
      <c r="L1212" s="18"/>
      <c r="M1212" s="18"/>
      <c r="N1212" s="18"/>
      <c r="O1212" s="18"/>
      <c r="P1212" s="18"/>
      <c r="Q1212" s="18"/>
    </row>
    <row r="1213" spans="6:17">
      <c r="F1213" s="18"/>
      <c r="G1213" s="18"/>
      <c r="H1213" s="18"/>
      <c r="I1213" s="18"/>
      <c r="J1213" s="18"/>
      <c r="K1213" s="18"/>
      <c r="L1213" s="18"/>
      <c r="M1213" s="18"/>
      <c r="N1213" s="18"/>
      <c r="O1213" s="18"/>
      <c r="P1213" s="18"/>
      <c r="Q1213" s="18"/>
    </row>
    <row r="1214" spans="6:17">
      <c r="F1214" s="18"/>
      <c r="G1214" s="18"/>
      <c r="H1214" s="18"/>
      <c r="I1214" s="18"/>
      <c r="J1214" s="18"/>
      <c r="K1214" s="18"/>
      <c r="L1214" s="18"/>
      <c r="M1214" s="18"/>
      <c r="N1214" s="18"/>
      <c r="O1214" s="18"/>
      <c r="P1214" s="18"/>
      <c r="Q1214" s="18"/>
    </row>
    <row r="1215" spans="6:17">
      <c r="F1215" s="18"/>
      <c r="G1215" s="18"/>
      <c r="H1215" s="18"/>
      <c r="I1215" s="18"/>
      <c r="J1215" s="18"/>
      <c r="K1215" s="18"/>
      <c r="L1215" s="18"/>
      <c r="M1215" s="18"/>
      <c r="N1215" s="18"/>
      <c r="O1215" s="18"/>
      <c r="P1215" s="18"/>
      <c r="Q1215" s="18"/>
    </row>
    <row r="1216" spans="6:17">
      <c r="F1216" s="18"/>
      <c r="G1216" s="18"/>
      <c r="H1216" s="18"/>
      <c r="I1216" s="18"/>
      <c r="J1216" s="18"/>
      <c r="K1216" s="18"/>
      <c r="L1216" s="18"/>
      <c r="M1216" s="18"/>
      <c r="N1216" s="18"/>
      <c r="O1216" s="18"/>
      <c r="P1216" s="18"/>
      <c r="Q1216" s="18"/>
    </row>
    <row r="1217" spans="6:17">
      <c r="F1217" s="18"/>
      <c r="G1217" s="18"/>
      <c r="H1217" s="18"/>
      <c r="I1217" s="18"/>
      <c r="J1217" s="18"/>
      <c r="K1217" s="18"/>
      <c r="L1217" s="18"/>
      <c r="M1217" s="18"/>
      <c r="N1217" s="18"/>
      <c r="O1217" s="18"/>
      <c r="P1217" s="18"/>
      <c r="Q1217" s="18"/>
    </row>
    <row r="1218" spans="6:17">
      <c r="F1218" s="18"/>
      <c r="G1218" s="18"/>
      <c r="H1218" s="18"/>
      <c r="I1218" s="18"/>
      <c r="J1218" s="18"/>
      <c r="K1218" s="18"/>
      <c r="L1218" s="18"/>
      <c r="M1218" s="18"/>
      <c r="N1218" s="18"/>
      <c r="O1218" s="18"/>
      <c r="P1218" s="18"/>
      <c r="Q1218" s="18"/>
    </row>
    <row r="1219" spans="6:17">
      <c r="F1219" s="18"/>
      <c r="G1219" s="18"/>
      <c r="H1219" s="18"/>
      <c r="I1219" s="18"/>
      <c r="J1219" s="18"/>
      <c r="K1219" s="18"/>
      <c r="L1219" s="18"/>
      <c r="M1219" s="18"/>
      <c r="N1219" s="18"/>
      <c r="O1219" s="18"/>
      <c r="P1219" s="18"/>
      <c r="Q1219" s="18"/>
    </row>
    <row r="1220" spans="6:17">
      <c r="F1220" s="18"/>
      <c r="G1220" s="18"/>
      <c r="H1220" s="18"/>
      <c r="I1220" s="18"/>
      <c r="J1220" s="18"/>
      <c r="K1220" s="18"/>
      <c r="L1220" s="18"/>
      <c r="M1220" s="18"/>
      <c r="N1220" s="18"/>
      <c r="O1220" s="18"/>
      <c r="P1220" s="18"/>
      <c r="Q1220" s="18"/>
    </row>
    <row r="1221" spans="6:17">
      <c r="F1221" s="18"/>
      <c r="G1221" s="18"/>
      <c r="H1221" s="18"/>
      <c r="I1221" s="18"/>
      <c r="J1221" s="18"/>
      <c r="K1221" s="18"/>
      <c r="L1221" s="18"/>
      <c r="M1221" s="18"/>
      <c r="N1221" s="18"/>
      <c r="O1221" s="18"/>
      <c r="P1221" s="18"/>
      <c r="Q1221" s="18"/>
    </row>
    <row r="1222" spans="6:17">
      <c r="F1222" s="18"/>
      <c r="G1222" s="18"/>
      <c r="H1222" s="18"/>
      <c r="I1222" s="18"/>
      <c r="J1222" s="18"/>
      <c r="K1222" s="18"/>
      <c r="L1222" s="18"/>
      <c r="M1222" s="18"/>
      <c r="N1222" s="18"/>
      <c r="O1222" s="18"/>
      <c r="P1222" s="18"/>
      <c r="Q1222" s="18"/>
    </row>
    <row r="1223" spans="6:17">
      <c r="F1223" s="18"/>
      <c r="G1223" s="18"/>
      <c r="H1223" s="18"/>
      <c r="I1223" s="18"/>
      <c r="J1223" s="18"/>
      <c r="K1223" s="18"/>
      <c r="L1223" s="18"/>
      <c r="M1223" s="18"/>
      <c r="N1223" s="18"/>
      <c r="O1223" s="18"/>
      <c r="P1223" s="18"/>
      <c r="Q1223" s="18"/>
    </row>
    <row r="1224" spans="6:17">
      <c r="F1224" s="18"/>
      <c r="G1224" s="18"/>
      <c r="H1224" s="18"/>
      <c r="I1224" s="18"/>
      <c r="J1224" s="18"/>
      <c r="K1224" s="18"/>
      <c r="L1224" s="18"/>
      <c r="M1224" s="18"/>
      <c r="N1224" s="18"/>
      <c r="O1224" s="18"/>
      <c r="P1224" s="18"/>
      <c r="Q1224" s="18"/>
    </row>
    <row r="1225" spans="6:17">
      <c r="F1225" s="18"/>
      <c r="G1225" s="18"/>
      <c r="H1225" s="18"/>
      <c r="I1225" s="18"/>
      <c r="J1225" s="18"/>
      <c r="K1225" s="18"/>
      <c r="L1225" s="18"/>
      <c r="M1225" s="18"/>
      <c r="N1225" s="18"/>
      <c r="O1225" s="18"/>
      <c r="P1225" s="18"/>
      <c r="Q1225" s="18"/>
    </row>
    <row r="1226" spans="6:17">
      <c r="F1226" s="18"/>
      <c r="G1226" s="18"/>
      <c r="H1226" s="18"/>
      <c r="I1226" s="18"/>
      <c r="J1226" s="18"/>
      <c r="K1226" s="18"/>
      <c r="L1226" s="18"/>
      <c r="M1226" s="18"/>
      <c r="N1226" s="18"/>
      <c r="O1226" s="18"/>
      <c r="P1226" s="18"/>
      <c r="Q1226" s="18"/>
    </row>
    <row r="1227" spans="6:17">
      <c r="F1227" s="18"/>
      <c r="G1227" s="18"/>
      <c r="H1227" s="18"/>
      <c r="I1227" s="18"/>
      <c r="J1227" s="18"/>
      <c r="K1227" s="18"/>
      <c r="L1227" s="18"/>
      <c r="M1227" s="18"/>
      <c r="N1227" s="18"/>
      <c r="O1227" s="18"/>
      <c r="P1227" s="18"/>
      <c r="Q1227" s="18"/>
    </row>
    <row r="1228" spans="6:17">
      <c r="F1228" s="18"/>
      <c r="G1228" s="18"/>
      <c r="H1228" s="18"/>
      <c r="I1228" s="18"/>
      <c r="J1228" s="18"/>
      <c r="K1228" s="18"/>
      <c r="L1228" s="18"/>
      <c r="M1228" s="18"/>
      <c r="N1228" s="18"/>
      <c r="O1228" s="18"/>
      <c r="P1228" s="18"/>
      <c r="Q1228" s="18"/>
    </row>
    <row r="1229" spans="6:17">
      <c r="F1229" s="18"/>
      <c r="G1229" s="18"/>
      <c r="H1229" s="18"/>
      <c r="I1229" s="18"/>
      <c r="J1229" s="18"/>
      <c r="K1229" s="18"/>
      <c r="L1229" s="18"/>
      <c r="M1229" s="18"/>
      <c r="N1229" s="18"/>
      <c r="O1229" s="18"/>
      <c r="P1229" s="18"/>
      <c r="Q1229" s="18"/>
    </row>
    <row r="1230" spans="6:17">
      <c r="F1230" s="18"/>
      <c r="G1230" s="18"/>
      <c r="H1230" s="18"/>
      <c r="I1230" s="18"/>
      <c r="J1230" s="18"/>
      <c r="K1230" s="18"/>
      <c r="L1230" s="18"/>
      <c r="M1230" s="18"/>
      <c r="N1230" s="18"/>
      <c r="O1230" s="18"/>
      <c r="P1230" s="18"/>
      <c r="Q1230" s="18"/>
    </row>
    <row r="1231" spans="6:17">
      <c r="F1231" s="18"/>
      <c r="G1231" s="18"/>
      <c r="H1231" s="18"/>
      <c r="I1231" s="18"/>
      <c r="J1231" s="18"/>
      <c r="K1231" s="18"/>
      <c r="L1231" s="18"/>
      <c r="M1231" s="18"/>
      <c r="N1231" s="18"/>
      <c r="O1231" s="18"/>
      <c r="P1231" s="18"/>
      <c r="Q1231" s="18"/>
    </row>
    <row r="1232" spans="6:17">
      <c r="F1232" s="18"/>
      <c r="G1232" s="18"/>
      <c r="H1232" s="18"/>
      <c r="I1232" s="18"/>
      <c r="J1232" s="18"/>
      <c r="K1232" s="18"/>
      <c r="L1232" s="18"/>
      <c r="M1232" s="18"/>
      <c r="N1232" s="18"/>
      <c r="O1232" s="18"/>
      <c r="P1232" s="18"/>
      <c r="Q1232" s="18"/>
    </row>
    <row r="1233" spans="6:17">
      <c r="F1233" s="18"/>
      <c r="G1233" s="18"/>
      <c r="H1233" s="18"/>
      <c r="I1233" s="18"/>
      <c r="J1233" s="18"/>
      <c r="K1233" s="18"/>
      <c r="L1233" s="18"/>
      <c r="M1233" s="18"/>
      <c r="N1233" s="18"/>
      <c r="O1233" s="18"/>
      <c r="P1233" s="18"/>
      <c r="Q1233" s="18"/>
    </row>
    <row r="1234" spans="6:17">
      <c r="F1234" s="18"/>
      <c r="G1234" s="18"/>
      <c r="H1234" s="18"/>
      <c r="I1234" s="18"/>
      <c r="J1234" s="18"/>
      <c r="K1234" s="18"/>
      <c r="L1234" s="18"/>
      <c r="M1234" s="18"/>
      <c r="N1234" s="18"/>
      <c r="O1234" s="18"/>
      <c r="P1234" s="18"/>
      <c r="Q1234" s="18"/>
    </row>
    <row r="1235" spans="6:17">
      <c r="F1235" s="18"/>
      <c r="G1235" s="18"/>
      <c r="H1235" s="18"/>
      <c r="I1235" s="18"/>
      <c r="J1235" s="18"/>
      <c r="K1235" s="18"/>
      <c r="L1235" s="18"/>
      <c r="M1235" s="18"/>
      <c r="N1235" s="18"/>
      <c r="O1235" s="18"/>
      <c r="P1235" s="18"/>
      <c r="Q1235" s="18"/>
    </row>
    <row r="1236" spans="6:17">
      <c r="F1236" s="18"/>
      <c r="G1236" s="18"/>
      <c r="H1236" s="18"/>
      <c r="I1236" s="18"/>
      <c r="J1236" s="18"/>
      <c r="K1236" s="18"/>
      <c r="L1236" s="18"/>
      <c r="M1236" s="18"/>
      <c r="N1236" s="18"/>
      <c r="O1236" s="18"/>
      <c r="P1236" s="18"/>
      <c r="Q1236" s="18"/>
    </row>
    <row r="1237" spans="6:17">
      <c r="F1237" s="18"/>
      <c r="G1237" s="18"/>
      <c r="H1237" s="18"/>
      <c r="I1237" s="18"/>
      <c r="J1237" s="18"/>
      <c r="K1237" s="18"/>
      <c r="L1237" s="18"/>
      <c r="M1237" s="18"/>
      <c r="N1237" s="18"/>
      <c r="O1237" s="18"/>
      <c r="P1237" s="18"/>
      <c r="Q1237" s="18"/>
    </row>
    <row r="1238" spans="6:17">
      <c r="F1238" s="18"/>
      <c r="G1238" s="18"/>
      <c r="H1238" s="18"/>
      <c r="I1238" s="18"/>
      <c r="J1238" s="18"/>
      <c r="K1238" s="18"/>
      <c r="L1238" s="18"/>
      <c r="M1238" s="18"/>
      <c r="N1238" s="18"/>
      <c r="O1238" s="18"/>
      <c r="P1238" s="18"/>
      <c r="Q1238" s="18"/>
    </row>
    <row r="1239" spans="6:17">
      <c r="F1239" s="18"/>
      <c r="G1239" s="18"/>
      <c r="H1239" s="18"/>
      <c r="I1239" s="18"/>
      <c r="J1239" s="18"/>
      <c r="K1239" s="18"/>
      <c r="L1239" s="18"/>
      <c r="M1239" s="18"/>
      <c r="N1239" s="18"/>
      <c r="O1239" s="18"/>
      <c r="P1239" s="18"/>
      <c r="Q1239" s="18"/>
    </row>
    <row r="1240" spans="6:17">
      <c r="F1240" s="18"/>
      <c r="G1240" s="18"/>
      <c r="H1240" s="18"/>
      <c r="I1240" s="18"/>
      <c r="J1240" s="18"/>
      <c r="K1240" s="18"/>
      <c r="L1240" s="18"/>
      <c r="M1240" s="18"/>
      <c r="N1240" s="18"/>
      <c r="O1240" s="18"/>
      <c r="P1240" s="18"/>
      <c r="Q1240" s="18"/>
    </row>
    <row r="1241" spans="6:17">
      <c r="F1241" s="36" t="e">
        <f>(#REF!-#REF!)/#REF!</f>
        <v>#REF!</v>
      </c>
      <c r="G1241" s="36" t="e">
        <f>(#REF!-#REF!)/#REF!</f>
        <v>#REF!</v>
      </c>
      <c r="H1241" s="36" t="e">
        <f>(#REF!-#REF!)/#REF!</f>
        <v>#REF!</v>
      </c>
      <c r="I1241" s="36" t="e">
        <f>(#REF!-#REF!)/#REF!</f>
        <v>#REF!</v>
      </c>
      <c r="J1241" s="36" t="e">
        <f>(#REF!-#REF!)/#REF!</f>
        <v>#REF!</v>
      </c>
      <c r="K1241" s="36" t="e">
        <f>(C1241-C998)/C998</f>
        <v>#DIV/0!</v>
      </c>
      <c r="L1241" s="36" t="e">
        <f>(D1241-D998)/D998</f>
        <v>#DIV/0!</v>
      </c>
      <c r="M1241" s="36" t="e">
        <f>(F1241-F998)/F998</f>
        <v>#REF!</v>
      </c>
      <c r="N1241" s="36" t="e">
        <f>(G1241-G998)/G998</f>
        <v>#REF!</v>
      </c>
      <c r="O1241" s="36" t="e">
        <f>(H1241-H998)/H998</f>
        <v>#REF!</v>
      </c>
      <c r="P1241" s="36" t="e">
        <f>(I1241-I998)/I998</f>
        <v>#REF!</v>
      </c>
      <c r="Q1241" s="36"/>
    </row>
    <row r="1242" spans="6:17">
      <c r="F1242" s="18"/>
      <c r="G1242" s="18"/>
      <c r="H1242" s="18"/>
      <c r="I1242" s="18"/>
      <c r="J1242" s="18"/>
      <c r="K1242" s="18"/>
      <c r="L1242" s="18"/>
      <c r="M1242" s="18"/>
      <c r="N1242" s="18"/>
      <c r="O1242" s="18"/>
      <c r="P1242" s="18"/>
      <c r="Q1242" s="18"/>
    </row>
    <row r="1243" spans="6:17">
      <c r="F1243" s="18"/>
      <c r="G1243" s="18"/>
      <c r="H1243" s="18"/>
      <c r="I1243" s="18"/>
      <c r="J1243" s="18"/>
      <c r="K1243" s="18"/>
      <c r="L1243" s="18"/>
      <c r="M1243" s="18"/>
      <c r="N1243" s="18"/>
      <c r="O1243" s="18"/>
      <c r="P1243" s="18"/>
      <c r="Q1243" s="18"/>
    </row>
    <row r="1244" spans="6:17">
      <c r="F1244" s="18"/>
      <c r="G1244" s="18"/>
      <c r="H1244" s="18"/>
      <c r="I1244" s="18"/>
      <c r="J1244" s="18"/>
      <c r="K1244" s="18"/>
      <c r="L1244" s="18"/>
      <c r="M1244" s="18"/>
      <c r="N1244" s="18"/>
      <c r="O1244" s="18"/>
      <c r="P1244" s="18"/>
      <c r="Q1244" s="18"/>
    </row>
    <row r="1245" spans="6:17">
      <c r="F1245" s="18"/>
      <c r="G1245" s="18"/>
      <c r="H1245" s="18"/>
      <c r="I1245" s="18"/>
      <c r="J1245" s="18"/>
      <c r="K1245" s="18"/>
      <c r="L1245" s="18"/>
      <c r="M1245" s="18"/>
      <c r="N1245" s="18"/>
      <c r="O1245" s="18"/>
      <c r="P1245" s="18"/>
      <c r="Q1245" s="18"/>
    </row>
    <row r="1246" spans="6:17">
      <c r="F1246" s="18"/>
      <c r="G1246" s="18"/>
      <c r="H1246" s="18"/>
      <c r="I1246" s="18"/>
      <c r="J1246" s="18"/>
      <c r="K1246" s="18"/>
      <c r="L1246" s="18"/>
      <c r="M1246" s="18"/>
      <c r="N1246" s="18"/>
      <c r="O1246" s="18"/>
      <c r="P1246" s="18"/>
      <c r="Q1246" s="18"/>
    </row>
    <row r="1247" spans="6:17">
      <c r="F1247" s="18"/>
      <c r="G1247" s="18"/>
      <c r="H1247" s="18"/>
      <c r="I1247" s="18"/>
      <c r="J1247" s="18"/>
      <c r="K1247" s="18"/>
      <c r="L1247" s="18"/>
      <c r="M1247" s="18"/>
      <c r="N1247" s="18"/>
      <c r="O1247" s="18"/>
      <c r="P1247" s="18"/>
      <c r="Q1247" s="18"/>
    </row>
    <row r="1248" spans="6:17">
      <c r="F1248" s="18"/>
      <c r="G1248" s="18"/>
      <c r="H1248" s="18"/>
      <c r="I1248" s="18"/>
      <c r="J1248" s="18"/>
      <c r="K1248" s="18"/>
      <c r="L1248" s="18"/>
      <c r="M1248" s="18"/>
      <c r="N1248" s="18"/>
      <c r="O1248" s="18"/>
      <c r="P1248" s="18"/>
      <c r="Q1248" s="18"/>
    </row>
    <row r="1249" spans="6:17">
      <c r="F1249" s="18"/>
      <c r="G1249" s="18"/>
      <c r="H1249" s="18"/>
      <c r="I1249" s="18"/>
      <c r="J1249" s="18"/>
      <c r="K1249" s="18"/>
      <c r="L1249" s="18"/>
      <c r="M1249" s="18"/>
      <c r="N1249" s="18"/>
      <c r="O1249" s="18"/>
      <c r="P1249" s="18"/>
      <c r="Q1249" s="18"/>
    </row>
    <row r="1250" spans="6:17">
      <c r="F1250" s="18"/>
      <c r="G1250" s="18"/>
      <c r="H1250" s="18"/>
      <c r="I1250" s="18"/>
      <c r="J1250" s="18"/>
      <c r="K1250" s="18"/>
      <c r="L1250" s="18"/>
      <c r="M1250" s="18"/>
      <c r="N1250" s="18"/>
      <c r="O1250" s="18"/>
      <c r="P1250" s="18"/>
      <c r="Q1250" s="18"/>
    </row>
    <row r="1251" spans="6:17">
      <c r="F1251" s="18"/>
      <c r="G1251" s="18"/>
      <c r="H1251" s="18"/>
      <c r="I1251" s="18"/>
      <c r="J1251" s="18"/>
      <c r="K1251" s="18"/>
      <c r="L1251" s="18"/>
      <c r="M1251" s="18"/>
      <c r="N1251" s="18"/>
      <c r="O1251" s="18"/>
      <c r="P1251" s="18"/>
      <c r="Q1251" s="18"/>
    </row>
    <row r="1252" spans="6:17">
      <c r="F1252" s="18"/>
      <c r="G1252" s="18"/>
      <c r="H1252" s="18"/>
      <c r="I1252" s="18"/>
      <c r="J1252" s="18"/>
      <c r="K1252" s="18"/>
      <c r="L1252" s="18"/>
      <c r="M1252" s="18"/>
      <c r="N1252" s="18"/>
      <c r="O1252" s="18"/>
      <c r="P1252" s="18"/>
      <c r="Q1252" s="18"/>
    </row>
    <row r="1253" spans="6:17">
      <c r="F1253" s="18"/>
      <c r="G1253" s="18"/>
      <c r="H1253" s="18"/>
      <c r="I1253" s="18"/>
      <c r="J1253" s="18"/>
      <c r="K1253" s="18"/>
      <c r="L1253" s="18"/>
      <c r="M1253" s="18"/>
      <c r="N1253" s="18"/>
      <c r="O1253" s="18"/>
      <c r="P1253" s="18"/>
      <c r="Q1253" s="18"/>
    </row>
    <row r="1254" spans="6:17">
      <c r="F1254" s="18"/>
      <c r="G1254" s="18"/>
      <c r="H1254" s="18"/>
      <c r="I1254" s="18"/>
      <c r="J1254" s="18"/>
      <c r="K1254" s="18"/>
      <c r="L1254" s="18"/>
      <c r="M1254" s="18"/>
      <c r="N1254" s="18"/>
      <c r="O1254" s="18"/>
      <c r="P1254" s="18"/>
      <c r="Q1254" s="18"/>
    </row>
    <row r="1255" spans="6:17">
      <c r="F1255" s="18"/>
      <c r="G1255" s="18"/>
      <c r="H1255" s="18"/>
      <c r="I1255" s="18"/>
      <c r="J1255" s="18"/>
      <c r="K1255" s="18"/>
      <c r="L1255" s="18"/>
      <c r="M1255" s="18"/>
      <c r="N1255" s="18"/>
      <c r="O1255" s="18"/>
      <c r="P1255" s="18"/>
      <c r="Q1255" s="18"/>
    </row>
    <row r="1256" spans="6:17">
      <c r="F1256" s="18"/>
      <c r="G1256" s="18"/>
      <c r="H1256" s="18"/>
      <c r="I1256" s="18"/>
      <c r="J1256" s="18"/>
      <c r="K1256" s="18"/>
      <c r="L1256" s="18"/>
      <c r="M1256" s="18"/>
      <c r="N1256" s="18"/>
      <c r="O1256" s="18"/>
      <c r="P1256" s="18"/>
      <c r="Q1256" s="18"/>
    </row>
    <row r="1257" spans="6:17">
      <c r="F1257" s="18"/>
      <c r="G1257" s="18"/>
      <c r="H1257" s="18"/>
      <c r="I1257" s="18"/>
      <c r="J1257" s="18"/>
      <c r="K1257" s="18"/>
      <c r="L1257" s="18"/>
      <c r="M1257" s="18"/>
      <c r="N1257" s="18"/>
      <c r="O1257" s="18"/>
      <c r="P1257" s="18"/>
      <c r="Q1257" s="18"/>
    </row>
    <row r="1258" spans="6:17">
      <c r="F1258" s="18"/>
      <c r="G1258" s="18"/>
      <c r="H1258" s="18"/>
      <c r="I1258" s="18"/>
      <c r="J1258" s="18"/>
      <c r="K1258" s="18"/>
      <c r="L1258" s="18"/>
      <c r="M1258" s="18"/>
      <c r="N1258" s="18"/>
      <c r="O1258" s="18"/>
      <c r="P1258" s="18"/>
      <c r="Q1258" s="18"/>
    </row>
    <row r="1259" spans="6:17">
      <c r="F1259" s="18"/>
      <c r="G1259" s="18"/>
      <c r="H1259" s="18"/>
      <c r="I1259" s="18"/>
      <c r="J1259" s="18"/>
      <c r="K1259" s="18"/>
      <c r="L1259" s="18"/>
      <c r="M1259" s="18"/>
      <c r="N1259" s="18"/>
      <c r="O1259" s="18"/>
      <c r="P1259" s="18"/>
      <c r="Q1259" s="18"/>
    </row>
    <row r="1260" spans="6:17">
      <c r="F1260" s="18"/>
      <c r="G1260" s="18"/>
      <c r="H1260" s="18"/>
      <c r="I1260" s="18"/>
      <c r="J1260" s="18"/>
      <c r="K1260" s="18"/>
      <c r="L1260" s="18"/>
      <c r="M1260" s="18"/>
      <c r="N1260" s="18"/>
      <c r="O1260" s="18"/>
      <c r="P1260" s="18"/>
      <c r="Q1260" s="18"/>
    </row>
    <row r="1261" spans="6:17">
      <c r="F1261" s="18"/>
      <c r="G1261" s="18"/>
      <c r="H1261" s="18"/>
      <c r="I1261" s="18"/>
      <c r="J1261" s="18"/>
      <c r="K1261" s="18"/>
      <c r="L1261" s="18"/>
      <c r="M1261" s="18"/>
      <c r="N1261" s="18"/>
      <c r="O1261" s="18"/>
      <c r="P1261" s="18"/>
      <c r="Q1261" s="18"/>
    </row>
    <row r="1262" spans="6:17">
      <c r="F1262" s="18"/>
      <c r="G1262" s="18"/>
      <c r="H1262" s="18"/>
      <c r="I1262" s="18"/>
      <c r="J1262" s="18"/>
      <c r="K1262" s="18"/>
      <c r="L1262" s="18"/>
      <c r="M1262" s="18"/>
      <c r="N1262" s="18"/>
      <c r="O1262" s="18"/>
      <c r="P1262" s="18"/>
      <c r="Q1262" s="18"/>
    </row>
    <row r="1263" spans="6:17">
      <c r="F1263" s="18"/>
      <c r="G1263" s="18"/>
      <c r="H1263" s="18"/>
      <c r="I1263" s="18"/>
      <c r="J1263" s="18"/>
      <c r="K1263" s="18"/>
      <c r="L1263" s="18"/>
      <c r="M1263" s="18"/>
      <c r="N1263" s="18"/>
      <c r="O1263" s="18"/>
      <c r="P1263" s="18"/>
      <c r="Q1263" s="18"/>
    </row>
    <row r="1264" spans="6:17">
      <c r="F1264" s="18"/>
      <c r="G1264" s="18"/>
      <c r="H1264" s="18"/>
      <c r="I1264" s="18"/>
      <c r="J1264" s="18"/>
      <c r="K1264" s="18"/>
      <c r="L1264" s="18"/>
      <c r="M1264" s="18"/>
      <c r="N1264" s="18"/>
      <c r="O1264" s="18"/>
      <c r="P1264" s="18"/>
      <c r="Q1264" s="18"/>
    </row>
    <row r="1265" spans="6:17">
      <c r="F1265" s="18"/>
      <c r="G1265" s="18"/>
      <c r="H1265" s="18"/>
      <c r="I1265" s="18"/>
      <c r="J1265" s="18"/>
      <c r="K1265" s="18"/>
      <c r="L1265" s="18"/>
      <c r="M1265" s="18"/>
      <c r="N1265" s="18"/>
      <c r="O1265" s="18"/>
      <c r="P1265" s="18"/>
      <c r="Q1265" s="18"/>
    </row>
    <row r="1266" spans="6:17">
      <c r="F1266" s="18"/>
      <c r="G1266" s="18"/>
      <c r="H1266" s="18"/>
      <c r="I1266" s="18"/>
      <c r="J1266" s="18"/>
      <c r="K1266" s="18"/>
      <c r="L1266" s="18"/>
      <c r="M1266" s="18"/>
      <c r="N1266" s="18"/>
      <c r="O1266" s="18"/>
      <c r="P1266" s="18"/>
      <c r="Q1266" s="18"/>
    </row>
    <row r="1267" spans="6:17">
      <c r="F1267" s="18"/>
      <c r="G1267" s="18"/>
      <c r="H1267" s="18"/>
      <c r="I1267" s="18"/>
      <c r="J1267" s="18"/>
      <c r="K1267" s="18"/>
      <c r="L1267" s="18"/>
      <c r="M1267" s="18"/>
      <c r="N1267" s="18"/>
      <c r="O1267" s="18"/>
      <c r="P1267" s="18"/>
      <c r="Q1267" s="18"/>
    </row>
    <row r="1268" spans="6:17">
      <c r="F1268" s="18"/>
      <c r="G1268" s="18"/>
      <c r="H1268" s="18"/>
      <c r="I1268" s="18"/>
      <c r="J1268" s="18"/>
      <c r="K1268" s="18"/>
      <c r="L1268" s="18"/>
      <c r="M1268" s="18"/>
      <c r="N1268" s="18"/>
      <c r="O1268" s="18"/>
      <c r="P1268" s="18"/>
      <c r="Q1268" s="18"/>
    </row>
    <row r="1269" spans="6:17">
      <c r="F1269" s="18"/>
      <c r="G1269" s="18"/>
      <c r="H1269" s="18"/>
      <c r="I1269" s="18"/>
      <c r="J1269" s="18"/>
      <c r="K1269" s="18"/>
      <c r="L1269" s="18"/>
      <c r="M1269" s="18"/>
      <c r="N1269" s="18"/>
      <c r="O1269" s="18"/>
      <c r="P1269" s="18"/>
      <c r="Q1269" s="18"/>
    </row>
    <row r="1270" spans="6:17">
      <c r="F1270" s="18"/>
      <c r="G1270" s="18"/>
      <c r="H1270" s="18"/>
      <c r="I1270" s="18"/>
      <c r="J1270" s="18"/>
      <c r="K1270" s="18"/>
      <c r="L1270" s="18"/>
      <c r="M1270" s="18"/>
      <c r="N1270" s="18"/>
      <c r="O1270" s="18"/>
      <c r="P1270" s="18"/>
      <c r="Q1270" s="18"/>
    </row>
    <row r="1271" spans="6:17">
      <c r="F1271" s="18"/>
      <c r="G1271" s="18"/>
      <c r="H1271" s="18"/>
      <c r="I1271" s="18"/>
      <c r="J1271" s="18"/>
      <c r="K1271" s="18"/>
      <c r="L1271" s="18"/>
      <c r="M1271" s="18"/>
      <c r="N1271" s="18"/>
      <c r="O1271" s="18"/>
      <c r="P1271" s="18"/>
      <c r="Q1271" s="18"/>
    </row>
    <row r="1272" spans="6:17">
      <c r="F1272" s="18"/>
      <c r="G1272" s="18"/>
      <c r="H1272" s="18"/>
      <c r="I1272" s="18"/>
      <c r="J1272" s="18"/>
      <c r="K1272" s="18"/>
      <c r="L1272" s="18"/>
      <c r="M1272" s="18"/>
      <c r="N1272" s="18"/>
      <c r="O1272" s="18"/>
      <c r="P1272" s="18"/>
      <c r="Q1272" s="18"/>
    </row>
    <row r="1273" spans="6:17">
      <c r="F1273" s="18"/>
      <c r="G1273" s="18"/>
      <c r="H1273" s="18"/>
      <c r="I1273" s="18"/>
      <c r="J1273" s="18"/>
      <c r="K1273" s="18"/>
      <c r="L1273" s="18"/>
      <c r="M1273" s="18"/>
      <c r="N1273" s="18"/>
      <c r="O1273" s="18"/>
      <c r="P1273" s="18"/>
      <c r="Q1273" s="18"/>
    </row>
    <row r="1274" spans="6:17">
      <c r="F1274" s="18"/>
      <c r="G1274" s="18"/>
      <c r="H1274" s="18"/>
      <c r="I1274" s="18"/>
      <c r="J1274" s="18"/>
      <c r="K1274" s="18"/>
      <c r="L1274" s="18"/>
      <c r="M1274" s="18"/>
      <c r="N1274" s="18"/>
      <c r="O1274" s="18"/>
      <c r="P1274" s="18"/>
      <c r="Q1274" s="18"/>
    </row>
    <row r="1275" spans="6:17">
      <c r="F1275" s="18"/>
      <c r="G1275" s="18"/>
      <c r="H1275" s="18"/>
      <c r="I1275" s="18"/>
      <c r="J1275" s="18"/>
      <c r="K1275" s="18"/>
      <c r="L1275" s="18"/>
      <c r="M1275" s="18"/>
      <c r="N1275" s="18"/>
      <c r="O1275" s="18"/>
      <c r="P1275" s="18"/>
      <c r="Q1275" s="18"/>
    </row>
    <row r="1276" spans="6:17">
      <c r="F1276" s="18"/>
      <c r="G1276" s="18"/>
      <c r="H1276" s="18"/>
      <c r="I1276" s="18"/>
      <c r="J1276" s="18"/>
      <c r="K1276" s="18"/>
      <c r="L1276" s="18"/>
      <c r="M1276" s="18"/>
      <c r="N1276" s="18"/>
      <c r="O1276" s="18"/>
      <c r="P1276" s="18"/>
      <c r="Q1276" s="18"/>
    </row>
    <row r="1277" spans="6:17">
      <c r="F1277" s="18"/>
      <c r="G1277" s="18"/>
      <c r="H1277" s="18"/>
      <c r="I1277" s="18"/>
      <c r="J1277" s="18"/>
      <c r="K1277" s="18"/>
      <c r="L1277" s="18"/>
      <c r="M1277" s="18"/>
      <c r="N1277" s="18"/>
      <c r="O1277" s="18"/>
      <c r="P1277" s="18"/>
      <c r="Q1277" s="18"/>
    </row>
    <row r="1278" spans="6:17">
      <c r="F1278" s="18"/>
      <c r="G1278" s="18"/>
      <c r="H1278" s="18"/>
      <c r="I1278" s="18"/>
      <c r="J1278" s="18"/>
      <c r="K1278" s="18"/>
      <c r="L1278" s="18"/>
      <c r="M1278" s="18"/>
      <c r="N1278" s="18"/>
      <c r="O1278" s="18"/>
      <c r="P1278" s="18"/>
      <c r="Q1278" s="18"/>
    </row>
    <row r="1279" spans="6:17">
      <c r="F1279" s="18"/>
      <c r="G1279" s="18"/>
      <c r="H1279" s="18"/>
      <c r="I1279" s="18"/>
      <c r="J1279" s="18"/>
      <c r="K1279" s="18"/>
      <c r="L1279" s="18"/>
      <c r="M1279" s="18"/>
      <c r="N1279" s="18"/>
      <c r="O1279" s="18"/>
      <c r="P1279" s="18"/>
      <c r="Q1279" s="18"/>
    </row>
    <row r="1280" spans="6:17">
      <c r="F1280" s="18"/>
      <c r="G1280" s="18"/>
      <c r="H1280" s="18"/>
      <c r="I1280" s="18"/>
      <c r="J1280" s="18"/>
      <c r="K1280" s="18"/>
      <c r="L1280" s="18"/>
      <c r="M1280" s="18"/>
      <c r="N1280" s="18"/>
      <c r="O1280" s="18"/>
      <c r="P1280" s="18"/>
      <c r="Q1280" s="18"/>
    </row>
    <row r="1281" spans="6:17">
      <c r="F1281" s="18"/>
      <c r="G1281" s="18"/>
      <c r="H1281" s="18"/>
      <c r="I1281" s="18"/>
      <c r="J1281" s="18"/>
      <c r="K1281" s="18"/>
      <c r="L1281" s="18"/>
      <c r="M1281" s="18"/>
      <c r="N1281" s="18"/>
      <c r="O1281" s="18"/>
      <c r="P1281" s="18"/>
      <c r="Q1281" s="18"/>
    </row>
    <row r="1282" spans="6:17">
      <c r="F1282" s="18"/>
      <c r="G1282" s="18"/>
      <c r="H1282" s="18"/>
      <c r="I1282" s="18"/>
      <c r="J1282" s="18"/>
      <c r="K1282" s="18"/>
      <c r="L1282" s="18"/>
      <c r="M1282" s="18"/>
      <c r="N1282" s="18"/>
      <c r="O1282" s="18"/>
      <c r="P1282" s="18"/>
      <c r="Q1282" s="18"/>
    </row>
    <row r="1283" spans="6:17">
      <c r="F1283" s="18"/>
      <c r="G1283" s="18"/>
      <c r="H1283" s="18"/>
      <c r="I1283" s="18"/>
      <c r="J1283" s="18"/>
      <c r="K1283" s="18"/>
      <c r="L1283" s="18"/>
      <c r="M1283" s="18"/>
      <c r="N1283" s="18"/>
      <c r="O1283" s="18"/>
      <c r="P1283" s="18"/>
      <c r="Q1283" s="18"/>
    </row>
    <row r="1284" spans="6:17">
      <c r="F1284" s="18"/>
      <c r="G1284" s="18"/>
      <c r="H1284" s="18"/>
      <c r="I1284" s="18"/>
      <c r="J1284" s="18"/>
      <c r="K1284" s="18"/>
      <c r="L1284" s="18"/>
      <c r="M1284" s="18"/>
      <c r="N1284" s="18"/>
      <c r="O1284" s="18"/>
      <c r="P1284" s="18"/>
      <c r="Q1284" s="18"/>
    </row>
    <row r="1285" spans="6:17">
      <c r="F1285" s="18"/>
      <c r="G1285" s="18"/>
      <c r="H1285" s="18"/>
      <c r="I1285" s="18"/>
      <c r="J1285" s="18"/>
      <c r="K1285" s="18"/>
      <c r="L1285" s="18"/>
      <c r="M1285" s="18"/>
      <c r="N1285" s="18"/>
      <c r="O1285" s="18"/>
      <c r="P1285" s="18"/>
      <c r="Q1285" s="18"/>
    </row>
    <row r="1286" spans="6:17">
      <c r="F1286" s="18"/>
      <c r="G1286" s="18"/>
      <c r="H1286" s="18"/>
      <c r="I1286" s="18"/>
      <c r="J1286" s="18"/>
      <c r="K1286" s="18"/>
      <c r="L1286" s="18"/>
      <c r="M1286" s="18"/>
      <c r="N1286" s="18"/>
      <c r="O1286" s="18"/>
      <c r="P1286" s="18"/>
      <c r="Q1286" s="18"/>
    </row>
    <row r="1287" spans="6:17">
      <c r="F1287" s="18"/>
      <c r="G1287" s="18"/>
      <c r="H1287" s="18"/>
      <c r="I1287" s="18"/>
      <c r="J1287" s="18"/>
      <c r="K1287" s="18"/>
      <c r="L1287" s="18"/>
      <c r="M1287" s="18"/>
      <c r="N1287" s="18"/>
      <c r="O1287" s="18"/>
      <c r="P1287" s="18"/>
      <c r="Q1287" s="18"/>
    </row>
    <row r="1288" spans="6:17">
      <c r="F1288" s="18"/>
      <c r="G1288" s="18"/>
      <c r="H1288" s="18"/>
      <c r="I1288" s="18"/>
      <c r="J1288" s="18"/>
      <c r="K1288" s="18"/>
      <c r="L1288" s="18"/>
      <c r="M1288" s="18"/>
      <c r="N1288" s="18"/>
      <c r="O1288" s="18"/>
      <c r="P1288" s="18"/>
      <c r="Q1288" s="18"/>
    </row>
    <row r="1289" spans="6:17">
      <c r="F1289" s="18"/>
      <c r="G1289" s="18"/>
      <c r="H1289" s="18"/>
      <c r="I1289" s="18"/>
      <c r="J1289" s="18"/>
      <c r="K1289" s="18"/>
      <c r="L1289" s="18"/>
      <c r="M1289" s="18"/>
      <c r="N1289" s="18"/>
      <c r="O1289" s="18"/>
      <c r="P1289" s="18"/>
      <c r="Q1289" s="18"/>
    </row>
    <row r="1290" spans="6:17">
      <c r="F1290" s="18"/>
      <c r="G1290" s="18"/>
      <c r="H1290" s="18"/>
      <c r="I1290" s="18"/>
      <c r="J1290" s="18"/>
      <c r="K1290" s="18"/>
      <c r="L1290" s="18"/>
      <c r="M1290" s="18"/>
      <c r="N1290" s="18"/>
      <c r="O1290" s="18"/>
      <c r="P1290" s="18"/>
      <c r="Q1290" s="18"/>
    </row>
    <row r="1291" spans="6:17">
      <c r="F1291" s="18"/>
      <c r="G1291" s="18"/>
      <c r="H1291" s="18"/>
      <c r="I1291" s="18"/>
      <c r="J1291" s="18"/>
      <c r="K1291" s="18"/>
      <c r="L1291" s="18"/>
      <c r="M1291" s="18"/>
      <c r="N1291" s="18"/>
      <c r="O1291" s="18"/>
      <c r="P1291" s="18"/>
      <c r="Q1291" s="18"/>
    </row>
    <row r="1292" spans="6:17">
      <c r="F1292" s="18"/>
      <c r="G1292" s="18"/>
      <c r="H1292" s="18"/>
      <c r="I1292" s="18"/>
      <c r="J1292" s="18"/>
      <c r="K1292" s="18"/>
      <c r="L1292" s="18"/>
      <c r="M1292" s="18"/>
      <c r="N1292" s="18"/>
      <c r="O1292" s="18"/>
      <c r="P1292" s="18"/>
      <c r="Q1292" s="18"/>
    </row>
    <row r="1293" spans="6:17">
      <c r="F1293" s="18"/>
      <c r="G1293" s="18"/>
      <c r="H1293" s="18"/>
      <c r="I1293" s="18"/>
      <c r="J1293" s="18"/>
      <c r="K1293" s="18"/>
      <c r="L1293" s="18"/>
      <c r="M1293" s="18"/>
      <c r="N1293" s="18"/>
      <c r="O1293" s="18"/>
      <c r="P1293" s="18"/>
      <c r="Q1293" s="18"/>
    </row>
    <row r="1294" spans="6:17">
      <c r="F1294" s="18"/>
      <c r="G1294" s="18"/>
      <c r="H1294" s="18"/>
      <c r="I1294" s="18"/>
      <c r="J1294" s="18"/>
      <c r="K1294" s="18"/>
      <c r="L1294" s="18"/>
      <c r="M1294" s="18"/>
      <c r="N1294" s="18"/>
      <c r="O1294" s="18"/>
      <c r="P1294" s="18"/>
      <c r="Q1294" s="18"/>
    </row>
    <row r="1295" spans="6:17">
      <c r="F1295" s="18"/>
      <c r="G1295" s="18"/>
      <c r="H1295" s="18"/>
      <c r="I1295" s="18"/>
      <c r="J1295" s="18"/>
      <c r="K1295" s="18"/>
      <c r="L1295" s="18"/>
      <c r="M1295" s="18"/>
      <c r="N1295" s="18"/>
      <c r="O1295" s="18"/>
      <c r="P1295" s="18"/>
      <c r="Q1295" s="18"/>
    </row>
    <row r="1296" spans="6:17">
      <c r="F1296" s="18"/>
      <c r="G1296" s="18"/>
      <c r="H1296" s="18"/>
      <c r="I1296" s="18"/>
      <c r="J1296" s="18"/>
      <c r="K1296" s="18"/>
      <c r="L1296" s="18"/>
      <c r="M1296" s="18"/>
      <c r="N1296" s="18"/>
      <c r="O1296" s="18"/>
      <c r="P1296" s="18"/>
      <c r="Q1296" s="18"/>
    </row>
    <row r="1297" spans="6:17">
      <c r="F1297" s="18"/>
      <c r="G1297" s="18"/>
      <c r="H1297" s="18"/>
      <c r="I1297" s="18"/>
      <c r="J1297" s="18"/>
      <c r="K1297" s="18"/>
      <c r="L1297" s="18"/>
      <c r="M1297" s="18"/>
      <c r="N1297" s="18"/>
      <c r="O1297" s="18"/>
      <c r="P1297" s="18"/>
      <c r="Q1297" s="18"/>
    </row>
    <row r="1298" spans="6:17">
      <c r="F1298" s="18"/>
      <c r="G1298" s="18"/>
      <c r="H1298" s="18"/>
      <c r="I1298" s="18"/>
      <c r="J1298" s="18"/>
      <c r="K1298" s="18"/>
      <c r="L1298" s="18"/>
      <c r="M1298" s="18"/>
      <c r="N1298" s="18"/>
      <c r="O1298" s="18"/>
      <c r="P1298" s="18"/>
      <c r="Q1298" s="18"/>
    </row>
    <row r="1299" spans="6:17">
      <c r="F1299" s="18"/>
      <c r="G1299" s="18"/>
      <c r="H1299" s="18"/>
      <c r="I1299" s="18"/>
      <c r="J1299" s="18"/>
      <c r="K1299" s="18"/>
      <c r="L1299" s="18"/>
      <c r="M1299" s="18"/>
      <c r="N1299" s="18"/>
      <c r="O1299" s="18"/>
      <c r="P1299" s="18"/>
      <c r="Q1299" s="18"/>
    </row>
    <row r="1300" spans="6:17">
      <c r="F1300" s="18"/>
      <c r="G1300" s="18"/>
      <c r="H1300" s="18"/>
      <c r="I1300" s="18"/>
      <c r="J1300" s="18"/>
      <c r="K1300" s="18"/>
      <c r="L1300" s="18"/>
      <c r="M1300" s="18"/>
      <c r="N1300" s="18"/>
      <c r="O1300" s="18"/>
      <c r="P1300" s="18"/>
      <c r="Q1300" s="18"/>
    </row>
    <row r="1301" spans="6:17">
      <c r="F1301" s="18"/>
      <c r="G1301" s="18"/>
      <c r="H1301" s="18"/>
      <c r="I1301" s="18"/>
      <c r="J1301" s="18"/>
      <c r="K1301" s="18"/>
      <c r="L1301" s="18"/>
      <c r="M1301" s="18"/>
      <c r="N1301" s="18"/>
      <c r="O1301" s="18"/>
      <c r="P1301" s="18"/>
      <c r="Q1301" s="18"/>
    </row>
    <row r="1302" spans="6:17">
      <c r="F1302" s="18"/>
      <c r="G1302" s="18"/>
      <c r="H1302" s="18"/>
      <c r="I1302" s="18"/>
      <c r="J1302" s="18"/>
      <c r="K1302" s="18"/>
      <c r="L1302" s="18"/>
      <c r="M1302" s="18"/>
      <c r="N1302" s="18"/>
      <c r="O1302" s="18"/>
      <c r="P1302" s="18"/>
      <c r="Q1302" s="18"/>
    </row>
    <row r="1303" spans="6:17">
      <c r="F1303" s="18"/>
      <c r="G1303" s="18"/>
      <c r="H1303" s="18"/>
      <c r="I1303" s="18"/>
      <c r="J1303" s="18"/>
      <c r="K1303" s="18"/>
      <c r="L1303" s="18"/>
      <c r="M1303" s="18"/>
      <c r="N1303" s="18"/>
      <c r="O1303" s="18"/>
      <c r="P1303" s="18"/>
      <c r="Q1303" s="18"/>
    </row>
    <row r="1304" spans="6:17">
      <c r="F1304" s="18"/>
      <c r="G1304" s="18"/>
      <c r="H1304" s="18"/>
      <c r="I1304" s="18"/>
      <c r="J1304" s="18"/>
      <c r="K1304" s="18"/>
      <c r="L1304" s="18"/>
      <c r="M1304" s="18"/>
      <c r="N1304" s="18"/>
      <c r="O1304" s="18"/>
      <c r="P1304" s="18"/>
      <c r="Q1304" s="18"/>
    </row>
    <row r="1305" spans="6:17">
      <c r="F1305" s="18"/>
      <c r="G1305" s="18"/>
      <c r="H1305" s="18"/>
      <c r="I1305" s="18"/>
      <c r="J1305" s="18"/>
      <c r="K1305" s="18"/>
      <c r="L1305" s="18"/>
      <c r="M1305" s="18"/>
      <c r="N1305" s="18"/>
      <c r="O1305" s="18"/>
      <c r="P1305" s="18"/>
      <c r="Q1305" s="18"/>
    </row>
    <row r="1306" spans="6:17">
      <c r="F1306" s="18"/>
      <c r="G1306" s="18"/>
      <c r="H1306" s="18"/>
      <c r="I1306" s="18"/>
      <c r="J1306" s="18"/>
      <c r="K1306" s="18"/>
      <c r="L1306" s="18"/>
      <c r="M1306" s="18"/>
      <c r="N1306" s="18"/>
      <c r="O1306" s="18"/>
      <c r="P1306" s="18"/>
      <c r="Q1306" s="18"/>
    </row>
    <row r="1307" spans="6:17">
      <c r="F1307" s="18"/>
      <c r="G1307" s="18"/>
      <c r="H1307" s="18"/>
      <c r="I1307" s="18"/>
      <c r="J1307" s="18"/>
      <c r="K1307" s="18"/>
      <c r="L1307" s="18"/>
      <c r="M1307" s="18"/>
      <c r="N1307" s="18"/>
      <c r="O1307" s="18"/>
      <c r="P1307" s="18"/>
      <c r="Q1307" s="18"/>
    </row>
    <row r="1308" spans="6:17">
      <c r="F1308" s="18"/>
      <c r="G1308" s="18"/>
      <c r="H1308" s="18"/>
      <c r="I1308" s="18"/>
      <c r="J1308" s="18"/>
      <c r="K1308" s="18"/>
      <c r="L1308" s="18"/>
      <c r="M1308" s="18"/>
      <c r="N1308" s="18"/>
      <c r="O1308" s="18"/>
      <c r="P1308" s="18"/>
      <c r="Q1308" s="18"/>
    </row>
    <row r="1309" spans="6:17">
      <c r="F1309" s="18"/>
      <c r="G1309" s="18"/>
      <c r="H1309" s="18"/>
      <c r="I1309" s="18"/>
      <c r="J1309" s="18"/>
      <c r="K1309" s="18"/>
      <c r="L1309" s="18"/>
      <c r="M1309" s="18"/>
      <c r="N1309" s="18"/>
      <c r="O1309" s="18"/>
      <c r="P1309" s="18"/>
      <c r="Q1309" s="18"/>
    </row>
    <row r="1310" spans="6:17">
      <c r="F1310" s="18"/>
      <c r="G1310" s="18"/>
      <c r="H1310" s="18"/>
      <c r="I1310" s="18"/>
      <c r="J1310" s="18"/>
      <c r="K1310" s="18"/>
      <c r="L1310" s="18"/>
      <c r="M1310" s="18"/>
      <c r="N1310" s="18"/>
      <c r="O1310" s="18"/>
      <c r="P1310" s="18"/>
      <c r="Q1310" s="18"/>
    </row>
    <row r="1311" spans="6:17">
      <c r="F1311" s="18"/>
      <c r="G1311" s="18"/>
      <c r="H1311" s="18"/>
      <c r="I1311" s="18"/>
      <c r="J1311" s="18"/>
      <c r="K1311" s="18"/>
      <c r="L1311" s="18"/>
      <c r="M1311" s="18"/>
      <c r="N1311" s="18"/>
      <c r="O1311" s="18"/>
      <c r="P1311" s="18"/>
      <c r="Q1311" s="18"/>
    </row>
    <row r="1312" spans="6:17">
      <c r="F1312" s="18"/>
      <c r="G1312" s="18"/>
      <c r="H1312" s="18"/>
      <c r="I1312" s="18"/>
      <c r="J1312" s="18"/>
      <c r="K1312" s="18"/>
      <c r="L1312" s="18"/>
      <c r="M1312" s="18"/>
      <c r="N1312" s="18"/>
      <c r="O1312" s="18"/>
      <c r="P1312" s="18"/>
      <c r="Q1312" s="18"/>
    </row>
    <row r="1313" spans="6:17">
      <c r="F1313" s="18"/>
      <c r="G1313" s="18"/>
      <c r="H1313" s="18"/>
      <c r="I1313" s="18"/>
      <c r="J1313" s="18"/>
      <c r="K1313" s="18"/>
      <c r="L1313" s="18"/>
      <c r="M1313" s="18"/>
      <c r="N1313" s="18"/>
      <c r="O1313" s="18"/>
      <c r="P1313" s="18"/>
      <c r="Q1313" s="18"/>
    </row>
    <row r="1314" spans="6:17">
      <c r="F1314" s="18"/>
      <c r="G1314" s="18"/>
      <c r="H1314" s="18"/>
      <c r="I1314" s="18"/>
      <c r="J1314" s="18"/>
      <c r="K1314" s="18"/>
      <c r="L1314" s="18"/>
      <c r="M1314" s="18"/>
      <c r="N1314" s="18"/>
      <c r="O1314" s="18"/>
      <c r="P1314" s="18"/>
      <c r="Q1314" s="18"/>
    </row>
    <row r="1315" spans="6:17">
      <c r="F1315" s="18"/>
      <c r="G1315" s="18"/>
      <c r="H1315" s="18"/>
      <c r="I1315" s="18"/>
      <c r="J1315" s="18"/>
      <c r="K1315" s="18"/>
      <c r="L1315" s="18"/>
      <c r="M1315" s="18"/>
      <c r="N1315" s="18"/>
      <c r="O1315" s="18"/>
      <c r="P1315" s="18"/>
      <c r="Q1315" s="18"/>
    </row>
    <row r="1316" spans="6:17">
      <c r="F1316" s="18"/>
      <c r="G1316" s="18"/>
      <c r="H1316" s="18"/>
      <c r="I1316" s="18"/>
      <c r="J1316" s="18"/>
      <c r="K1316" s="18"/>
      <c r="L1316" s="18"/>
      <c r="M1316" s="18"/>
      <c r="N1316" s="18"/>
      <c r="O1316" s="18"/>
      <c r="P1316" s="18"/>
      <c r="Q1316" s="18"/>
    </row>
    <row r="1317" spans="6:17">
      <c r="F1317" s="18"/>
      <c r="G1317" s="18"/>
      <c r="H1317" s="18"/>
      <c r="I1317" s="18"/>
      <c r="J1317" s="18"/>
      <c r="K1317" s="18"/>
      <c r="L1317" s="18"/>
      <c r="M1317" s="18"/>
      <c r="N1317" s="18"/>
      <c r="O1317" s="18"/>
      <c r="P1317" s="18"/>
      <c r="Q1317" s="18"/>
    </row>
    <row r="1318" spans="6:17">
      <c r="F1318" s="18"/>
      <c r="G1318" s="18"/>
      <c r="H1318" s="18"/>
      <c r="I1318" s="18"/>
      <c r="J1318" s="18"/>
      <c r="K1318" s="18"/>
      <c r="L1318" s="18"/>
      <c r="M1318" s="18"/>
      <c r="N1318" s="18"/>
      <c r="O1318" s="18"/>
      <c r="P1318" s="18"/>
      <c r="Q1318" s="18"/>
    </row>
    <row r="1319" spans="6:17">
      <c r="F1319" s="18"/>
      <c r="G1319" s="18"/>
      <c r="H1319" s="18"/>
      <c r="I1319" s="18"/>
      <c r="J1319" s="18"/>
      <c r="K1319" s="18"/>
      <c r="L1319" s="18"/>
      <c r="M1319" s="18"/>
      <c r="N1319" s="18"/>
      <c r="O1319" s="18"/>
      <c r="P1319" s="18"/>
      <c r="Q1319" s="18"/>
    </row>
    <row r="1320" spans="6:17">
      <c r="F1320" s="18"/>
      <c r="G1320" s="18"/>
      <c r="H1320" s="18"/>
      <c r="I1320" s="18"/>
      <c r="J1320" s="18"/>
      <c r="K1320" s="18"/>
      <c r="L1320" s="18"/>
      <c r="M1320" s="18"/>
      <c r="N1320" s="18"/>
      <c r="O1320" s="18"/>
      <c r="P1320" s="18"/>
      <c r="Q1320" s="18"/>
    </row>
    <row r="1321" spans="6:17">
      <c r="F1321" s="18"/>
      <c r="G1321" s="18"/>
      <c r="H1321" s="18"/>
      <c r="I1321" s="18"/>
      <c r="J1321" s="18"/>
      <c r="K1321" s="18"/>
      <c r="L1321" s="18"/>
      <c r="M1321" s="18"/>
      <c r="N1321" s="18"/>
      <c r="O1321" s="18"/>
      <c r="P1321" s="18"/>
      <c r="Q1321" s="18"/>
    </row>
    <row r="1322" spans="6:17">
      <c r="F1322" s="18"/>
      <c r="G1322" s="18"/>
      <c r="H1322" s="18"/>
      <c r="I1322" s="18"/>
      <c r="J1322" s="18"/>
      <c r="K1322" s="18"/>
      <c r="L1322" s="18"/>
      <c r="M1322" s="18"/>
      <c r="N1322" s="18"/>
      <c r="O1322" s="18"/>
      <c r="P1322" s="18"/>
      <c r="Q1322" s="18"/>
    </row>
    <row r="1323" spans="6:17">
      <c r="F1323" s="18"/>
      <c r="G1323" s="18"/>
      <c r="H1323" s="18"/>
      <c r="I1323" s="18"/>
      <c r="J1323" s="18"/>
      <c r="K1323" s="18"/>
      <c r="L1323" s="18"/>
      <c r="M1323" s="18"/>
      <c r="N1323" s="18"/>
      <c r="O1323" s="18"/>
      <c r="P1323" s="18"/>
      <c r="Q1323" s="18"/>
    </row>
    <row r="1324" spans="6:17">
      <c r="F1324" s="18"/>
      <c r="G1324" s="18"/>
      <c r="H1324" s="18"/>
      <c r="I1324" s="18"/>
      <c r="J1324" s="18"/>
      <c r="K1324" s="18"/>
      <c r="L1324" s="18"/>
      <c r="M1324" s="18"/>
      <c r="N1324" s="18"/>
      <c r="O1324" s="18"/>
      <c r="P1324" s="18"/>
      <c r="Q1324" s="18"/>
    </row>
    <row r="1325" spans="6:17">
      <c r="F1325" s="18"/>
      <c r="G1325" s="18"/>
      <c r="H1325" s="18"/>
      <c r="I1325" s="18"/>
      <c r="J1325" s="18"/>
      <c r="K1325" s="18"/>
      <c r="L1325" s="18"/>
      <c r="M1325" s="18"/>
      <c r="N1325" s="18"/>
      <c r="O1325" s="18"/>
      <c r="P1325" s="18"/>
      <c r="Q1325" s="18"/>
    </row>
    <row r="1326" spans="6:17">
      <c r="F1326" s="18"/>
      <c r="G1326" s="18"/>
      <c r="H1326" s="18"/>
      <c r="I1326" s="18"/>
      <c r="J1326" s="18"/>
      <c r="K1326" s="18"/>
      <c r="L1326" s="18"/>
      <c r="M1326" s="18"/>
      <c r="N1326" s="18"/>
      <c r="O1326" s="18"/>
      <c r="P1326" s="18"/>
      <c r="Q1326" s="18"/>
    </row>
    <row r="1327" spans="6:17">
      <c r="F1327" s="18"/>
      <c r="G1327" s="18"/>
      <c r="H1327" s="18"/>
      <c r="I1327" s="18"/>
      <c r="J1327" s="18"/>
      <c r="K1327" s="18"/>
      <c r="L1327" s="18"/>
      <c r="M1327" s="18"/>
      <c r="N1327" s="18"/>
      <c r="O1327" s="18"/>
      <c r="P1327" s="18"/>
      <c r="Q1327" s="18"/>
    </row>
    <row r="1328" spans="6:17">
      <c r="F1328" s="18"/>
      <c r="G1328" s="18"/>
      <c r="H1328" s="18"/>
      <c r="I1328" s="18"/>
      <c r="J1328" s="18"/>
      <c r="K1328" s="18"/>
      <c r="L1328" s="18"/>
      <c r="M1328" s="18"/>
      <c r="N1328" s="18"/>
      <c r="O1328" s="18"/>
      <c r="P1328" s="18"/>
      <c r="Q1328" s="18"/>
    </row>
    <row r="1329" spans="6:17">
      <c r="F1329" s="18"/>
      <c r="G1329" s="18"/>
      <c r="H1329" s="18"/>
      <c r="I1329" s="18"/>
      <c r="J1329" s="18"/>
      <c r="K1329" s="18"/>
      <c r="L1329" s="18"/>
      <c r="M1329" s="18"/>
      <c r="N1329" s="18"/>
      <c r="O1329" s="18"/>
      <c r="P1329" s="18"/>
      <c r="Q1329" s="18"/>
    </row>
    <row r="1330" spans="6:17">
      <c r="F1330" s="18"/>
      <c r="G1330" s="18"/>
      <c r="H1330" s="18"/>
      <c r="I1330" s="18"/>
      <c r="J1330" s="18"/>
      <c r="K1330" s="18"/>
      <c r="L1330" s="18"/>
      <c r="M1330" s="18"/>
      <c r="N1330" s="18"/>
      <c r="O1330" s="18"/>
      <c r="P1330" s="18"/>
      <c r="Q1330" s="18"/>
    </row>
    <row r="1331" spans="6:17">
      <c r="F1331" s="18"/>
      <c r="G1331" s="18"/>
      <c r="H1331" s="18"/>
      <c r="I1331" s="18"/>
      <c r="J1331" s="18"/>
      <c r="K1331" s="18"/>
      <c r="L1331" s="18"/>
      <c r="M1331" s="18"/>
      <c r="N1331" s="18"/>
      <c r="O1331" s="18"/>
      <c r="P1331" s="18"/>
      <c r="Q1331" s="18"/>
    </row>
    <row r="1332" spans="6:17">
      <c r="F1332" s="18"/>
      <c r="G1332" s="18"/>
      <c r="H1332" s="18"/>
      <c r="I1332" s="18"/>
      <c r="J1332" s="18"/>
      <c r="K1332" s="18"/>
      <c r="L1332" s="18"/>
      <c r="M1332" s="18"/>
      <c r="N1332" s="18"/>
      <c r="O1332" s="18"/>
      <c r="P1332" s="18"/>
      <c r="Q1332" s="18"/>
    </row>
    <row r="1333" spans="6:17">
      <c r="F1333" s="18"/>
      <c r="G1333" s="18"/>
      <c r="H1333" s="18"/>
      <c r="I1333" s="18"/>
      <c r="J1333" s="18"/>
      <c r="K1333" s="18"/>
      <c r="L1333" s="18"/>
      <c r="M1333" s="18"/>
      <c r="N1333" s="18"/>
      <c r="O1333" s="18"/>
      <c r="P1333" s="18"/>
      <c r="Q1333" s="18"/>
    </row>
    <row r="1334" spans="6:17">
      <c r="F1334" s="18"/>
      <c r="G1334" s="18"/>
      <c r="H1334" s="18"/>
      <c r="I1334" s="18"/>
      <c r="J1334" s="18"/>
      <c r="K1334" s="18"/>
      <c r="L1334" s="18"/>
      <c r="M1334" s="18"/>
      <c r="N1334" s="18"/>
      <c r="O1334" s="18"/>
      <c r="P1334" s="18"/>
      <c r="Q1334" s="18"/>
    </row>
    <row r="1335" spans="6:17">
      <c r="F1335" s="18"/>
      <c r="G1335" s="18"/>
      <c r="H1335" s="18"/>
      <c r="I1335" s="18"/>
      <c r="J1335" s="18"/>
      <c r="K1335" s="18"/>
      <c r="L1335" s="18"/>
      <c r="M1335" s="18"/>
      <c r="N1335" s="18"/>
      <c r="O1335" s="18"/>
      <c r="P1335" s="18"/>
      <c r="Q1335" s="18"/>
    </row>
    <row r="1336" spans="6:17">
      <c r="F1336" s="18"/>
      <c r="G1336" s="18"/>
      <c r="H1336" s="18"/>
      <c r="I1336" s="18"/>
      <c r="J1336" s="18"/>
      <c r="K1336" s="18"/>
      <c r="L1336" s="18"/>
      <c r="M1336" s="18"/>
      <c r="N1336" s="18"/>
      <c r="O1336" s="18"/>
      <c r="P1336" s="18"/>
      <c r="Q1336" s="18"/>
    </row>
    <row r="1337" spans="6:17">
      <c r="F1337" s="18"/>
      <c r="G1337" s="18"/>
      <c r="H1337" s="18"/>
      <c r="I1337" s="18"/>
      <c r="J1337" s="18"/>
      <c r="K1337" s="18"/>
      <c r="L1337" s="18"/>
      <c r="M1337" s="18"/>
      <c r="N1337" s="18"/>
      <c r="O1337" s="18"/>
      <c r="P1337" s="18"/>
      <c r="Q1337" s="18"/>
    </row>
    <row r="1338" spans="6:17">
      <c r="F1338" s="18"/>
      <c r="G1338" s="18"/>
      <c r="H1338" s="18"/>
      <c r="I1338" s="18"/>
      <c r="J1338" s="18"/>
      <c r="K1338" s="18"/>
      <c r="L1338" s="18"/>
      <c r="M1338" s="18"/>
      <c r="N1338" s="18"/>
      <c r="O1338" s="18"/>
      <c r="P1338" s="18"/>
      <c r="Q1338" s="18"/>
    </row>
    <row r="1339" spans="6:17">
      <c r="F1339" s="18"/>
      <c r="G1339" s="18"/>
      <c r="H1339" s="18"/>
      <c r="I1339" s="18"/>
      <c r="J1339" s="18"/>
      <c r="K1339" s="18"/>
      <c r="L1339" s="18"/>
      <c r="M1339" s="18"/>
      <c r="N1339" s="18"/>
      <c r="O1339" s="18"/>
      <c r="P1339" s="18"/>
      <c r="Q1339" s="18"/>
    </row>
    <row r="1340" spans="6:17">
      <c r="F1340" s="18"/>
      <c r="G1340" s="18"/>
      <c r="H1340" s="18"/>
      <c r="I1340" s="18"/>
      <c r="J1340" s="18"/>
      <c r="K1340" s="18"/>
      <c r="L1340" s="18"/>
      <c r="M1340" s="18"/>
      <c r="N1340" s="18"/>
      <c r="O1340" s="18"/>
      <c r="P1340" s="18"/>
      <c r="Q1340" s="18"/>
    </row>
    <row r="1341" spans="6:17">
      <c r="F1341" s="18"/>
      <c r="G1341" s="18"/>
      <c r="H1341" s="18"/>
      <c r="I1341" s="18"/>
      <c r="J1341" s="18"/>
      <c r="K1341" s="18"/>
      <c r="L1341" s="18"/>
      <c r="M1341" s="18"/>
      <c r="N1341" s="18"/>
      <c r="O1341" s="18"/>
      <c r="P1341" s="18"/>
      <c r="Q1341" s="18"/>
    </row>
    <row r="1342" spans="6:17">
      <c r="F1342" s="18"/>
      <c r="G1342" s="18"/>
      <c r="H1342" s="18"/>
      <c r="I1342" s="18"/>
      <c r="J1342" s="18"/>
      <c r="K1342" s="18"/>
      <c r="L1342" s="18"/>
      <c r="M1342" s="18"/>
      <c r="N1342" s="18"/>
      <c r="O1342" s="18"/>
      <c r="P1342" s="18"/>
      <c r="Q1342" s="18"/>
    </row>
    <row r="1343" spans="6:17">
      <c r="F1343" s="18"/>
      <c r="G1343" s="18"/>
      <c r="H1343" s="18"/>
      <c r="I1343" s="18"/>
      <c r="J1343" s="18"/>
      <c r="K1343" s="18"/>
      <c r="L1343" s="18"/>
      <c r="M1343" s="18"/>
      <c r="N1343" s="18"/>
      <c r="O1343" s="18"/>
      <c r="P1343" s="18"/>
      <c r="Q1343" s="18"/>
    </row>
    <row r="1344" spans="6:17">
      <c r="F1344" s="18"/>
      <c r="G1344" s="18"/>
      <c r="H1344" s="18"/>
      <c r="I1344" s="18"/>
      <c r="J1344" s="18"/>
      <c r="K1344" s="18"/>
      <c r="L1344" s="18"/>
      <c r="M1344" s="18"/>
      <c r="N1344" s="18"/>
      <c r="O1344" s="18"/>
      <c r="P1344" s="18"/>
      <c r="Q1344" s="18"/>
    </row>
    <row r="1345" spans="6:17">
      <c r="F1345" s="18"/>
      <c r="G1345" s="18"/>
      <c r="H1345" s="18"/>
      <c r="I1345" s="18"/>
      <c r="J1345" s="18"/>
      <c r="K1345" s="18"/>
      <c r="L1345" s="18"/>
      <c r="M1345" s="18"/>
      <c r="N1345" s="18"/>
      <c r="O1345" s="18"/>
      <c r="P1345" s="18"/>
      <c r="Q1345" s="18"/>
    </row>
    <row r="1346" spans="6:17">
      <c r="F1346" s="18"/>
      <c r="G1346" s="18"/>
      <c r="H1346" s="18"/>
      <c r="I1346" s="18"/>
      <c r="J1346" s="18"/>
      <c r="K1346" s="18"/>
      <c r="L1346" s="18"/>
      <c r="M1346" s="18"/>
      <c r="N1346" s="18"/>
      <c r="O1346" s="18"/>
      <c r="P1346" s="18"/>
      <c r="Q1346" s="18"/>
    </row>
    <row r="1347" spans="6:17">
      <c r="F1347" s="18"/>
      <c r="G1347" s="18"/>
      <c r="H1347" s="18"/>
      <c r="I1347" s="18"/>
      <c r="J1347" s="18"/>
      <c r="K1347" s="18"/>
      <c r="L1347" s="18"/>
      <c r="M1347" s="18"/>
      <c r="N1347" s="18"/>
      <c r="O1347" s="18"/>
      <c r="P1347" s="18"/>
      <c r="Q1347" s="18"/>
    </row>
    <row r="1348" spans="6:17">
      <c r="F1348" s="18"/>
      <c r="G1348" s="18"/>
      <c r="H1348" s="18"/>
      <c r="I1348" s="18"/>
      <c r="J1348" s="18"/>
      <c r="K1348" s="18"/>
      <c r="L1348" s="18"/>
      <c r="M1348" s="18"/>
      <c r="N1348" s="18"/>
      <c r="O1348" s="18"/>
      <c r="P1348" s="18"/>
      <c r="Q1348" s="18"/>
    </row>
    <row r="1349" spans="6:17">
      <c r="F1349" s="18"/>
      <c r="G1349" s="18"/>
      <c r="H1349" s="18"/>
      <c r="I1349" s="18"/>
      <c r="J1349" s="18"/>
      <c r="K1349" s="18"/>
      <c r="L1349" s="18"/>
      <c r="M1349" s="18"/>
      <c r="N1349" s="18"/>
      <c r="O1349" s="18"/>
      <c r="P1349" s="18"/>
      <c r="Q1349" s="18"/>
    </row>
    <row r="1350" spans="6:17">
      <c r="F1350" s="18"/>
      <c r="G1350" s="18"/>
      <c r="H1350" s="18"/>
      <c r="I1350" s="18"/>
      <c r="J1350" s="18"/>
      <c r="K1350" s="18"/>
      <c r="L1350" s="18"/>
      <c r="M1350" s="18"/>
      <c r="N1350" s="18"/>
      <c r="O1350" s="18"/>
      <c r="P1350" s="18"/>
      <c r="Q1350" s="18"/>
    </row>
    <row r="1351" spans="6:17">
      <c r="F1351" s="18"/>
      <c r="G1351" s="18"/>
      <c r="H1351" s="18"/>
      <c r="I1351" s="18"/>
      <c r="J1351" s="18"/>
      <c r="K1351" s="18"/>
      <c r="L1351" s="18"/>
      <c r="M1351" s="18"/>
      <c r="N1351" s="18"/>
      <c r="O1351" s="18"/>
      <c r="P1351" s="18"/>
      <c r="Q1351" s="18"/>
    </row>
    <row r="1352" spans="6:17">
      <c r="F1352" s="18"/>
      <c r="G1352" s="18"/>
      <c r="H1352" s="18"/>
      <c r="I1352" s="18"/>
      <c r="J1352" s="18"/>
      <c r="K1352" s="18"/>
      <c r="L1352" s="18"/>
      <c r="M1352" s="18"/>
      <c r="N1352" s="18"/>
      <c r="O1352" s="18"/>
      <c r="P1352" s="18"/>
      <c r="Q1352" s="18"/>
    </row>
    <row r="1353" spans="6:17">
      <c r="F1353" s="18"/>
      <c r="G1353" s="18"/>
      <c r="H1353" s="18"/>
      <c r="I1353" s="18"/>
      <c r="J1353" s="18"/>
      <c r="K1353" s="18"/>
      <c r="L1353" s="18"/>
      <c r="M1353" s="18"/>
      <c r="N1353" s="18"/>
      <c r="O1353" s="18"/>
      <c r="P1353" s="18"/>
      <c r="Q1353" s="18"/>
    </row>
    <row r="1354" spans="6:17">
      <c r="F1354" s="18"/>
      <c r="G1354" s="18"/>
      <c r="H1354" s="18"/>
      <c r="I1354" s="18"/>
      <c r="J1354" s="18"/>
      <c r="K1354" s="18"/>
      <c r="L1354" s="18"/>
      <c r="M1354" s="18"/>
      <c r="N1354" s="18"/>
      <c r="O1354" s="18"/>
      <c r="P1354" s="18"/>
      <c r="Q1354" s="18"/>
    </row>
    <row r="1355" spans="6:17">
      <c r="F1355" s="18"/>
      <c r="G1355" s="18"/>
      <c r="H1355" s="18"/>
      <c r="I1355" s="18"/>
      <c r="J1355" s="18"/>
      <c r="K1355" s="18"/>
      <c r="L1355" s="18"/>
      <c r="M1355" s="18"/>
      <c r="N1355" s="18"/>
      <c r="O1355" s="18"/>
      <c r="P1355" s="18"/>
      <c r="Q1355" s="18"/>
    </row>
    <row r="1356" spans="6:17">
      <c r="F1356" s="18"/>
      <c r="G1356" s="18"/>
      <c r="H1356" s="18"/>
      <c r="I1356" s="18"/>
      <c r="J1356" s="18"/>
      <c r="K1356" s="18"/>
      <c r="L1356" s="18"/>
      <c r="M1356" s="18"/>
      <c r="N1356" s="18"/>
      <c r="O1356" s="18"/>
      <c r="P1356" s="18"/>
      <c r="Q1356" s="18"/>
    </row>
    <row r="1357" spans="6:17">
      <c r="F1357" s="18"/>
      <c r="G1357" s="18"/>
      <c r="H1357" s="18"/>
      <c r="I1357" s="18"/>
      <c r="J1357" s="18"/>
      <c r="K1357" s="18"/>
      <c r="L1357" s="18"/>
      <c r="M1357" s="18"/>
      <c r="N1357" s="18"/>
      <c r="O1357" s="18"/>
      <c r="P1357" s="18"/>
      <c r="Q1357" s="18"/>
    </row>
    <row r="1358" spans="6:17">
      <c r="F1358" s="18"/>
      <c r="G1358" s="18"/>
      <c r="H1358" s="18"/>
      <c r="I1358" s="18"/>
      <c r="J1358" s="18"/>
      <c r="K1358" s="18"/>
      <c r="L1358" s="18"/>
      <c r="M1358" s="18"/>
      <c r="N1358" s="18"/>
      <c r="O1358" s="18"/>
      <c r="P1358" s="18"/>
      <c r="Q1358" s="18"/>
    </row>
    <row r="1359" spans="6:17">
      <c r="F1359" s="18"/>
      <c r="G1359" s="18"/>
      <c r="H1359" s="18"/>
      <c r="I1359" s="18"/>
      <c r="J1359" s="18"/>
      <c r="K1359" s="18"/>
      <c r="L1359" s="18"/>
      <c r="M1359" s="18"/>
      <c r="N1359" s="18"/>
      <c r="O1359" s="18"/>
      <c r="P1359" s="18"/>
      <c r="Q1359" s="18"/>
    </row>
    <row r="1360" spans="6:17">
      <c r="F1360" s="18"/>
      <c r="G1360" s="18"/>
      <c r="H1360" s="18"/>
      <c r="I1360" s="18"/>
      <c r="J1360" s="18"/>
      <c r="K1360" s="18"/>
      <c r="L1360" s="18"/>
      <c r="M1360" s="18"/>
      <c r="N1360" s="18"/>
      <c r="O1360" s="18"/>
      <c r="P1360" s="18"/>
      <c r="Q1360" s="18"/>
    </row>
    <row r="1361" spans="6:17">
      <c r="F1361" s="18"/>
      <c r="G1361" s="18"/>
      <c r="H1361" s="18"/>
      <c r="I1361" s="18"/>
      <c r="J1361" s="18"/>
      <c r="K1361" s="18"/>
      <c r="L1361" s="18"/>
      <c r="M1361" s="18"/>
      <c r="N1361" s="18"/>
      <c r="O1361" s="18"/>
      <c r="P1361" s="18"/>
      <c r="Q1361" s="18"/>
    </row>
    <row r="1362" spans="6:17">
      <c r="F1362" s="18"/>
      <c r="G1362" s="18"/>
      <c r="H1362" s="18"/>
      <c r="I1362" s="18"/>
      <c r="J1362" s="18"/>
      <c r="K1362" s="18"/>
      <c r="L1362" s="18"/>
      <c r="M1362" s="18"/>
      <c r="N1362" s="18"/>
      <c r="O1362" s="18"/>
      <c r="P1362" s="18"/>
      <c r="Q1362" s="18"/>
    </row>
    <row r="1363" spans="6:17">
      <c r="F1363" s="18"/>
      <c r="G1363" s="18"/>
      <c r="H1363" s="18"/>
      <c r="I1363" s="18"/>
      <c r="J1363" s="18"/>
      <c r="K1363" s="18"/>
      <c r="L1363" s="18"/>
      <c r="M1363" s="18"/>
      <c r="N1363" s="18"/>
      <c r="O1363" s="18"/>
      <c r="P1363" s="18"/>
      <c r="Q1363" s="18"/>
    </row>
    <row r="1364" spans="6:17">
      <c r="F1364" s="18"/>
      <c r="G1364" s="18"/>
      <c r="H1364" s="18"/>
      <c r="I1364" s="18"/>
      <c r="J1364" s="18"/>
      <c r="K1364" s="18"/>
      <c r="L1364" s="18"/>
      <c r="M1364" s="18"/>
      <c r="N1364" s="18"/>
      <c r="O1364" s="18"/>
      <c r="P1364" s="18"/>
      <c r="Q1364" s="18"/>
    </row>
    <row r="1365" spans="6:17">
      <c r="F1365" s="18"/>
      <c r="G1365" s="18"/>
      <c r="H1365" s="18"/>
      <c r="I1365" s="18"/>
      <c r="J1365" s="18"/>
      <c r="K1365" s="18"/>
      <c r="L1365" s="18"/>
      <c r="M1365" s="18"/>
      <c r="N1365" s="18"/>
      <c r="O1365" s="18"/>
      <c r="P1365" s="18"/>
      <c r="Q1365" s="18"/>
    </row>
    <row r="1366" spans="6:17">
      <c r="F1366" s="18"/>
      <c r="G1366" s="18"/>
      <c r="H1366" s="18"/>
      <c r="I1366" s="18"/>
      <c r="J1366" s="18"/>
      <c r="K1366" s="18"/>
      <c r="L1366" s="18"/>
      <c r="M1366" s="18"/>
      <c r="N1366" s="18"/>
      <c r="O1366" s="18"/>
      <c r="P1366" s="18"/>
      <c r="Q1366" s="18"/>
    </row>
    <row r="1367" spans="6:17">
      <c r="F1367" s="18"/>
      <c r="G1367" s="18"/>
      <c r="H1367" s="18"/>
      <c r="I1367" s="18"/>
      <c r="J1367" s="18"/>
      <c r="K1367" s="18"/>
      <c r="L1367" s="18"/>
      <c r="M1367" s="18"/>
      <c r="N1367" s="18"/>
      <c r="O1367" s="18"/>
      <c r="P1367" s="18"/>
      <c r="Q1367" s="18"/>
    </row>
    <row r="1368" spans="6:17">
      <c r="F1368" s="18"/>
      <c r="G1368" s="18"/>
      <c r="H1368" s="18"/>
      <c r="I1368" s="18"/>
      <c r="J1368" s="18"/>
      <c r="K1368" s="18"/>
      <c r="L1368" s="18"/>
      <c r="M1368" s="18"/>
      <c r="N1368" s="18"/>
      <c r="O1368" s="18"/>
      <c r="P1368" s="18"/>
      <c r="Q1368" s="18"/>
    </row>
    <row r="1369" spans="6:17">
      <c r="F1369" s="18"/>
      <c r="G1369" s="18"/>
      <c r="H1369" s="18"/>
      <c r="I1369" s="18"/>
      <c r="J1369" s="18"/>
      <c r="K1369" s="18"/>
      <c r="L1369" s="18"/>
      <c r="M1369" s="18"/>
      <c r="N1369" s="18"/>
      <c r="O1369" s="18"/>
      <c r="P1369" s="18"/>
      <c r="Q1369" s="18"/>
    </row>
    <row r="1370" spans="6:17">
      <c r="F1370" s="18"/>
      <c r="G1370" s="18"/>
      <c r="H1370" s="18"/>
      <c r="I1370" s="18"/>
      <c r="J1370" s="18"/>
      <c r="K1370" s="18"/>
      <c r="L1370" s="18"/>
      <c r="M1370" s="18"/>
      <c r="N1370" s="18"/>
      <c r="O1370" s="18"/>
      <c r="P1370" s="18"/>
      <c r="Q1370" s="18"/>
    </row>
    <row r="1371" spans="6:17">
      <c r="F1371" s="18"/>
      <c r="G1371" s="18"/>
      <c r="H1371" s="18"/>
      <c r="I1371" s="18"/>
      <c r="J1371" s="18"/>
      <c r="K1371" s="18"/>
      <c r="L1371" s="18"/>
      <c r="M1371" s="18"/>
      <c r="N1371" s="18"/>
      <c r="O1371" s="18"/>
      <c r="P1371" s="18"/>
      <c r="Q1371" s="18"/>
    </row>
    <row r="1372" spans="6:17">
      <c r="F1372" s="18"/>
      <c r="G1372" s="18"/>
      <c r="H1372" s="18"/>
      <c r="I1372" s="18"/>
      <c r="J1372" s="18"/>
      <c r="K1372" s="18"/>
      <c r="L1372" s="18"/>
      <c r="M1372" s="18"/>
      <c r="N1372" s="18"/>
      <c r="O1372" s="18"/>
      <c r="P1372" s="18"/>
      <c r="Q1372" s="18"/>
    </row>
    <row r="1373" spans="6:17">
      <c r="F1373" s="18"/>
      <c r="G1373" s="18"/>
      <c r="H1373" s="18"/>
      <c r="I1373" s="18"/>
      <c r="J1373" s="18"/>
      <c r="K1373" s="18"/>
      <c r="L1373" s="18"/>
      <c r="M1373" s="18"/>
      <c r="N1373" s="18"/>
      <c r="O1373" s="18"/>
      <c r="P1373" s="18"/>
      <c r="Q1373" s="18"/>
    </row>
    <row r="1374" spans="6:17">
      <c r="F1374" s="18"/>
      <c r="G1374" s="18"/>
      <c r="H1374" s="18"/>
      <c r="I1374" s="18"/>
      <c r="J1374" s="18"/>
      <c r="K1374" s="18"/>
      <c r="L1374" s="18"/>
      <c r="M1374" s="18"/>
      <c r="N1374" s="18"/>
      <c r="O1374" s="18"/>
      <c r="P1374" s="18"/>
      <c r="Q1374" s="18"/>
    </row>
    <row r="1375" spans="6:17">
      <c r="F1375" s="18"/>
      <c r="G1375" s="18"/>
      <c r="H1375" s="18"/>
      <c r="I1375" s="18"/>
      <c r="J1375" s="18"/>
      <c r="K1375" s="18"/>
      <c r="L1375" s="18"/>
      <c r="M1375" s="18"/>
      <c r="N1375" s="18"/>
      <c r="O1375" s="18"/>
      <c r="P1375" s="18"/>
      <c r="Q1375" s="18"/>
    </row>
    <row r="1376" spans="6:17">
      <c r="F1376" s="18"/>
      <c r="G1376" s="18"/>
      <c r="H1376" s="18"/>
      <c r="I1376" s="18"/>
      <c r="J1376" s="18"/>
      <c r="K1376" s="18"/>
      <c r="L1376" s="18"/>
      <c r="M1376" s="18"/>
      <c r="N1376" s="18"/>
      <c r="O1376" s="18"/>
      <c r="P1376" s="18"/>
      <c r="Q1376" s="18"/>
    </row>
    <row r="1377" spans="6:17">
      <c r="F1377" s="18"/>
      <c r="G1377" s="18"/>
      <c r="H1377" s="18"/>
      <c r="I1377" s="18"/>
      <c r="J1377" s="18"/>
      <c r="K1377" s="18"/>
      <c r="L1377" s="18"/>
      <c r="M1377" s="18"/>
      <c r="N1377" s="18"/>
      <c r="O1377" s="18"/>
      <c r="P1377" s="18"/>
      <c r="Q1377" s="18"/>
    </row>
    <row r="1378" spans="6:17">
      <c r="F1378" s="18"/>
      <c r="G1378" s="18"/>
      <c r="H1378" s="18"/>
      <c r="I1378" s="18"/>
      <c r="J1378" s="18"/>
      <c r="K1378" s="18"/>
      <c r="L1378" s="18"/>
      <c r="M1378" s="18"/>
      <c r="N1378" s="18"/>
      <c r="O1378" s="18"/>
      <c r="P1378" s="18"/>
      <c r="Q1378" s="18"/>
    </row>
    <row r="1379" spans="6:17">
      <c r="F1379" s="18"/>
      <c r="G1379" s="18"/>
      <c r="H1379" s="18"/>
      <c r="I1379" s="18"/>
      <c r="J1379" s="18"/>
      <c r="K1379" s="18"/>
      <c r="L1379" s="18"/>
      <c r="M1379" s="18"/>
      <c r="N1379" s="18"/>
      <c r="O1379" s="18"/>
      <c r="P1379" s="18"/>
      <c r="Q1379" s="18"/>
    </row>
    <row r="1380" spans="6:17">
      <c r="F1380" s="18"/>
      <c r="G1380" s="18"/>
      <c r="H1380" s="18"/>
      <c r="I1380" s="18"/>
      <c r="J1380" s="18"/>
      <c r="K1380" s="18"/>
      <c r="L1380" s="18"/>
      <c r="M1380" s="18"/>
      <c r="N1380" s="18"/>
      <c r="O1380" s="18"/>
      <c r="P1380" s="18"/>
      <c r="Q1380" s="18"/>
    </row>
    <row r="1381" spans="6:17">
      <c r="F1381" s="18"/>
      <c r="G1381" s="18"/>
      <c r="H1381" s="18"/>
      <c r="I1381" s="18"/>
      <c r="J1381" s="18"/>
      <c r="K1381" s="18"/>
      <c r="L1381" s="18"/>
      <c r="M1381" s="18"/>
      <c r="N1381" s="18"/>
      <c r="O1381" s="18"/>
      <c r="P1381" s="18"/>
      <c r="Q1381" s="18"/>
    </row>
    <row r="1382" spans="6:17">
      <c r="F1382" s="18"/>
      <c r="G1382" s="18"/>
      <c r="H1382" s="18"/>
      <c r="I1382" s="18"/>
      <c r="J1382" s="18"/>
      <c r="K1382" s="18"/>
      <c r="L1382" s="18"/>
      <c r="M1382" s="18"/>
      <c r="N1382" s="18"/>
      <c r="O1382" s="18"/>
      <c r="P1382" s="18"/>
      <c r="Q1382" s="18"/>
    </row>
    <row r="1383" spans="6:17">
      <c r="F1383" s="18"/>
      <c r="G1383" s="18"/>
      <c r="H1383" s="18"/>
      <c r="I1383" s="18"/>
      <c r="J1383" s="18"/>
      <c r="K1383" s="18"/>
      <c r="L1383" s="18"/>
      <c r="M1383" s="18"/>
      <c r="N1383" s="18"/>
      <c r="O1383" s="18"/>
      <c r="P1383" s="18"/>
      <c r="Q1383" s="18"/>
    </row>
    <row r="1384" spans="6:17">
      <c r="F1384" s="18"/>
      <c r="G1384" s="18"/>
      <c r="H1384" s="18"/>
      <c r="I1384" s="18"/>
      <c r="J1384" s="18"/>
      <c r="K1384" s="18"/>
      <c r="L1384" s="18"/>
      <c r="M1384" s="18"/>
      <c r="N1384" s="18"/>
      <c r="O1384" s="18"/>
      <c r="P1384" s="18"/>
      <c r="Q1384" s="18"/>
    </row>
    <row r="1385" spans="6:17">
      <c r="F1385" s="18"/>
      <c r="G1385" s="18"/>
      <c r="H1385" s="18"/>
      <c r="I1385" s="18"/>
      <c r="J1385" s="18"/>
      <c r="K1385" s="18"/>
      <c r="L1385" s="18"/>
      <c r="M1385" s="18"/>
      <c r="N1385" s="18"/>
      <c r="O1385" s="18"/>
      <c r="P1385" s="18"/>
      <c r="Q1385" s="18"/>
    </row>
    <row r="1386" spans="6:17">
      <c r="F1386" s="18"/>
      <c r="G1386" s="18"/>
      <c r="H1386" s="18"/>
      <c r="I1386" s="18"/>
      <c r="J1386" s="18"/>
      <c r="K1386" s="18"/>
      <c r="L1386" s="18"/>
      <c r="M1386" s="18"/>
      <c r="N1386" s="18"/>
      <c r="O1386" s="18"/>
      <c r="P1386" s="18"/>
      <c r="Q1386" s="18"/>
    </row>
    <row r="1387" spans="6:17">
      <c r="F1387" s="18"/>
      <c r="G1387" s="18"/>
      <c r="H1387" s="18"/>
      <c r="I1387" s="18"/>
      <c r="J1387" s="18"/>
      <c r="K1387" s="18"/>
      <c r="L1387" s="18"/>
      <c r="M1387" s="18"/>
      <c r="N1387" s="18"/>
      <c r="O1387" s="18"/>
      <c r="P1387" s="18"/>
      <c r="Q1387" s="18"/>
    </row>
    <row r="1388" spans="6:17">
      <c r="F1388" s="18"/>
      <c r="G1388" s="18"/>
      <c r="H1388" s="18"/>
      <c r="I1388" s="18"/>
      <c r="J1388" s="18"/>
      <c r="K1388" s="18"/>
      <c r="L1388" s="18"/>
      <c r="M1388" s="18"/>
      <c r="N1388" s="18"/>
      <c r="O1388" s="18"/>
      <c r="P1388" s="18"/>
      <c r="Q1388" s="18"/>
    </row>
    <row r="1389" spans="6:17">
      <c r="F1389" s="18"/>
      <c r="G1389" s="18"/>
      <c r="H1389" s="18"/>
      <c r="I1389" s="18"/>
      <c r="J1389" s="18"/>
      <c r="K1389" s="18"/>
      <c r="L1389" s="18"/>
      <c r="M1389" s="18"/>
      <c r="N1389" s="18"/>
      <c r="O1389" s="18"/>
      <c r="P1389" s="18"/>
      <c r="Q1389" s="18"/>
    </row>
    <row r="1390" spans="6:17">
      <c r="F1390" s="18"/>
      <c r="G1390" s="18"/>
      <c r="H1390" s="18"/>
      <c r="I1390" s="18"/>
      <c r="J1390" s="18"/>
      <c r="K1390" s="18"/>
      <c r="L1390" s="18"/>
      <c r="M1390" s="18"/>
      <c r="N1390" s="18"/>
      <c r="O1390" s="18"/>
      <c r="P1390" s="18"/>
      <c r="Q1390" s="18"/>
    </row>
    <row r="1391" spans="6:17">
      <c r="F1391" s="18"/>
      <c r="G1391" s="18"/>
      <c r="H1391" s="18"/>
      <c r="I1391" s="18"/>
      <c r="J1391" s="18"/>
      <c r="K1391" s="18"/>
      <c r="L1391" s="18"/>
      <c r="M1391" s="18"/>
      <c r="N1391" s="18"/>
      <c r="O1391" s="18"/>
      <c r="P1391" s="18"/>
      <c r="Q1391" s="18"/>
    </row>
    <row r="1392" spans="6:17">
      <c r="F1392" s="18"/>
      <c r="G1392" s="18"/>
      <c r="H1392" s="18"/>
      <c r="I1392" s="18"/>
      <c r="J1392" s="18"/>
      <c r="K1392" s="18"/>
      <c r="L1392" s="18"/>
      <c r="M1392" s="18"/>
      <c r="N1392" s="18"/>
      <c r="O1392" s="18"/>
      <c r="P1392" s="18"/>
      <c r="Q1392" s="18"/>
    </row>
    <row r="1393" spans="6:17">
      <c r="F1393" s="18"/>
      <c r="G1393" s="18"/>
      <c r="H1393" s="18"/>
      <c r="I1393" s="18"/>
      <c r="J1393" s="18"/>
      <c r="K1393" s="18"/>
      <c r="L1393" s="18"/>
      <c r="M1393" s="18"/>
      <c r="N1393" s="18"/>
      <c r="O1393" s="18"/>
      <c r="P1393" s="18"/>
      <c r="Q1393" s="18"/>
    </row>
    <row r="1394" spans="6:17">
      <c r="F1394" s="18"/>
      <c r="G1394" s="18"/>
      <c r="H1394" s="18"/>
      <c r="I1394" s="18"/>
      <c r="J1394" s="18"/>
      <c r="K1394" s="18"/>
      <c r="L1394" s="18"/>
      <c r="M1394" s="18"/>
      <c r="N1394" s="18"/>
      <c r="O1394" s="18"/>
      <c r="P1394" s="18"/>
      <c r="Q1394" s="18"/>
    </row>
    <row r="1395" spans="6:17">
      <c r="F1395" s="18"/>
      <c r="G1395" s="18"/>
      <c r="H1395" s="18"/>
      <c r="I1395" s="18"/>
      <c r="J1395" s="18"/>
      <c r="K1395" s="18"/>
      <c r="L1395" s="18"/>
      <c r="M1395" s="18"/>
      <c r="N1395" s="18"/>
      <c r="O1395" s="18"/>
      <c r="P1395" s="18"/>
      <c r="Q1395" s="18"/>
    </row>
    <row r="1396" spans="6:17">
      <c r="F1396" s="18"/>
      <c r="G1396" s="18"/>
      <c r="H1396" s="18"/>
      <c r="I1396" s="18"/>
      <c r="J1396" s="18"/>
      <c r="K1396" s="18"/>
      <c r="L1396" s="18"/>
      <c r="M1396" s="18"/>
      <c r="N1396" s="18"/>
      <c r="O1396" s="18"/>
      <c r="P1396" s="18"/>
      <c r="Q1396" s="18"/>
    </row>
    <row r="1397" spans="6:17">
      <c r="F1397" s="18"/>
      <c r="G1397" s="18"/>
      <c r="H1397" s="18"/>
      <c r="I1397" s="18"/>
      <c r="J1397" s="18"/>
      <c r="K1397" s="18"/>
      <c r="L1397" s="18"/>
      <c r="M1397" s="18"/>
      <c r="N1397" s="18"/>
      <c r="O1397" s="18"/>
      <c r="P1397" s="18"/>
      <c r="Q1397" s="18"/>
    </row>
    <row r="1398" spans="6:17">
      <c r="F1398" s="18"/>
      <c r="G1398" s="18"/>
      <c r="H1398" s="18"/>
      <c r="I1398" s="18"/>
      <c r="J1398" s="18"/>
      <c r="K1398" s="18"/>
      <c r="L1398" s="18"/>
      <c r="M1398" s="18"/>
      <c r="N1398" s="18"/>
      <c r="O1398" s="18"/>
      <c r="P1398" s="18"/>
      <c r="Q1398" s="18"/>
    </row>
    <row r="1399" spans="6:17">
      <c r="F1399" s="18"/>
      <c r="G1399" s="18"/>
      <c r="H1399" s="18"/>
      <c r="I1399" s="18"/>
      <c r="J1399" s="18"/>
      <c r="K1399" s="18"/>
      <c r="L1399" s="18"/>
      <c r="M1399" s="18"/>
      <c r="N1399" s="18"/>
      <c r="O1399" s="18"/>
      <c r="P1399" s="18"/>
      <c r="Q1399" s="18"/>
    </row>
    <row r="1400" spans="6:17">
      <c r="F1400" s="18"/>
      <c r="G1400" s="18"/>
      <c r="H1400" s="18"/>
      <c r="I1400" s="18"/>
      <c r="J1400" s="18"/>
      <c r="K1400" s="18"/>
      <c r="L1400" s="18"/>
      <c r="M1400" s="18"/>
      <c r="N1400" s="18"/>
      <c r="O1400" s="18"/>
      <c r="P1400" s="18"/>
      <c r="Q1400" s="18"/>
    </row>
    <row r="1401" spans="6:17">
      <c r="F1401" s="18"/>
      <c r="G1401" s="18"/>
      <c r="H1401" s="18"/>
      <c r="I1401" s="18"/>
      <c r="J1401" s="18"/>
      <c r="K1401" s="18"/>
      <c r="L1401" s="18"/>
      <c r="M1401" s="18"/>
      <c r="N1401" s="18"/>
      <c r="O1401" s="18"/>
      <c r="P1401" s="18"/>
      <c r="Q1401" s="18"/>
    </row>
    <row r="1402" spans="6:17">
      <c r="F1402" s="18"/>
      <c r="G1402" s="18"/>
      <c r="H1402" s="18"/>
      <c r="I1402" s="18"/>
      <c r="J1402" s="18"/>
      <c r="K1402" s="18"/>
      <c r="L1402" s="18"/>
      <c r="M1402" s="18"/>
      <c r="N1402" s="18"/>
      <c r="O1402" s="18"/>
      <c r="P1402" s="18"/>
      <c r="Q1402" s="18"/>
    </row>
    <row r="1403" spans="6:17">
      <c r="F1403" s="18"/>
      <c r="G1403" s="18"/>
      <c r="H1403" s="18"/>
      <c r="I1403" s="18"/>
      <c r="J1403" s="18"/>
      <c r="K1403" s="18"/>
      <c r="L1403" s="18"/>
      <c r="M1403" s="18"/>
      <c r="N1403" s="18"/>
      <c r="O1403" s="18"/>
      <c r="P1403" s="18"/>
      <c r="Q1403" s="18"/>
    </row>
    <row r="1404" spans="6:17">
      <c r="F1404" s="18"/>
      <c r="G1404" s="18"/>
      <c r="H1404" s="18"/>
      <c r="I1404" s="18"/>
      <c r="J1404" s="18"/>
      <c r="K1404" s="18"/>
      <c r="L1404" s="18"/>
      <c r="M1404" s="18"/>
      <c r="N1404" s="18"/>
      <c r="O1404" s="18"/>
      <c r="P1404" s="18"/>
      <c r="Q1404" s="18"/>
    </row>
    <row r="1405" spans="6:17">
      <c r="F1405" s="18"/>
      <c r="G1405" s="18"/>
      <c r="H1405" s="18"/>
      <c r="I1405" s="18"/>
      <c r="J1405" s="18"/>
      <c r="K1405" s="18"/>
      <c r="L1405" s="18"/>
      <c r="M1405" s="18"/>
      <c r="N1405" s="18"/>
      <c r="O1405" s="18"/>
      <c r="P1405" s="18"/>
      <c r="Q1405" s="18"/>
    </row>
    <row r="1406" spans="6:17">
      <c r="F1406" s="18"/>
      <c r="G1406" s="18"/>
      <c r="H1406" s="18"/>
      <c r="I1406" s="18"/>
      <c r="J1406" s="18"/>
      <c r="K1406" s="18"/>
      <c r="L1406" s="18"/>
      <c r="M1406" s="18"/>
      <c r="N1406" s="18"/>
      <c r="O1406" s="18"/>
      <c r="P1406" s="18"/>
      <c r="Q1406" s="18"/>
    </row>
    <row r="1407" spans="6:17">
      <c r="F1407" s="18"/>
      <c r="G1407" s="18"/>
      <c r="H1407" s="18"/>
      <c r="I1407" s="18"/>
      <c r="J1407" s="18"/>
      <c r="K1407" s="18"/>
      <c r="L1407" s="18"/>
      <c r="M1407" s="18"/>
      <c r="N1407" s="18"/>
      <c r="O1407" s="18"/>
      <c r="P1407" s="18"/>
      <c r="Q1407" s="18"/>
    </row>
    <row r="1408" spans="6:17">
      <c r="F1408" s="18"/>
      <c r="G1408" s="18"/>
      <c r="H1408" s="18"/>
      <c r="I1408" s="18"/>
      <c r="J1408" s="18"/>
      <c r="K1408" s="18"/>
      <c r="L1408" s="18"/>
      <c r="M1408" s="18"/>
      <c r="N1408" s="18"/>
      <c r="O1408" s="18"/>
      <c r="P1408" s="18"/>
      <c r="Q1408" s="18"/>
    </row>
    <row r="1409" spans="6:17">
      <c r="F1409" s="18"/>
      <c r="G1409" s="18"/>
      <c r="H1409" s="18"/>
      <c r="I1409" s="18"/>
      <c r="J1409" s="18"/>
      <c r="K1409" s="18"/>
      <c r="L1409" s="18"/>
      <c r="M1409" s="18"/>
      <c r="N1409" s="18"/>
      <c r="O1409" s="18"/>
      <c r="P1409" s="18"/>
      <c r="Q1409" s="18"/>
    </row>
    <row r="1410" spans="6:17">
      <c r="F1410" s="18"/>
      <c r="G1410" s="18"/>
      <c r="H1410" s="18"/>
      <c r="I1410" s="18"/>
      <c r="J1410" s="18"/>
      <c r="K1410" s="18"/>
      <c r="L1410" s="18"/>
      <c r="M1410" s="18"/>
      <c r="N1410" s="18"/>
      <c r="O1410" s="18"/>
      <c r="P1410" s="18"/>
      <c r="Q1410" s="18"/>
    </row>
    <row r="1411" spans="6:17">
      <c r="F1411" s="18"/>
      <c r="G1411" s="18"/>
      <c r="H1411" s="18"/>
      <c r="I1411" s="18"/>
      <c r="J1411" s="18"/>
      <c r="K1411" s="18"/>
      <c r="L1411" s="18"/>
      <c r="M1411" s="18"/>
      <c r="N1411" s="18"/>
      <c r="O1411" s="18"/>
      <c r="P1411" s="18"/>
      <c r="Q1411" s="18"/>
    </row>
    <row r="1412" spans="6:17">
      <c r="F1412" s="18"/>
      <c r="G1412" s="18"/>
      <c r="H1412" s="18"/>
      <c r="I1412" s="18"/>
      <c r="J1412" s="18"/>
      <c r="K1412" s="18"/>
      <c r="L1412" s="18"/>
      <c r="M1412" s="18"/>
      <c r="N1412" s="18"/>
      <c r="O1412" s="18"/>
      <c r="P1412" s="18"/>
      <c r="Q1412" s="18"/>
    </row>
    <row r="1413" spans="6:17">
      <c r="F1413" s="18"/>
      <c r="G1413" s="18"/>
      <c r="H1413" s="18"/>
      <c r="I1413" s="18"/>
      <c r="J1413" s="18"/>
      <c r="K1413" s="18"/>
      <c r="L1413" s="18"/>
      <c r="M1413" s="18"/>
      <c r="N1413" s="18"/>
      <c r="O1413" s="18"/>
      <c r="P1413" s="18"/>
      <c r="Q1413" s="18"/>
    </row>
    <row r="1414" spans="6:17">
      <c r="F1414" s="18"/>
      <c r="G1414" s="18"/>
      <c r="H1414" s="18"/>
      <c r="I1414" s="18"/>
      <c r="J1414" s="18"/>
      <c r="K1414" s="18"/>
      <c r="L1414" s="18"/>
      <c r="M1414" s="18"/>
      <c r="N1414" s="18"/>
      <c r="O1414" s="18"/>
      <c r="P1414" s="18"/>
      <c r="Q1414" s="18"/>
    </row>
    <row r="1415" spans="6:17">
      <c r="F1415" s="18"/>
      <c r="G1415" s="18"/>
      <c r="H1415" s="18"/>
      <c r="I1415" s="18"/>
      <c r="J1415" s="18"/>
      <c r="K1415" s="18"/>
      <c r="L1415" s="18"/>
      <c r="M1415" s="18"/>
      <c r="N1415" s="18"/>
      <c r="O1415" s="18"/>
      <c r="P1415" s="18"/>
      <c r="Q1415" s="18"/>
    </row>
    <row r="1416" spans="6:17">
      <c r="F1416" s="18"/>
      <c r="G1416" s="18"/>
      <c r="H1416" s="18"/>
      <c r="I1416" s="18"/>
      <c r="J1416" s="18"/>
      <c r="K1416" s="18"/>
      <c r="L1416" s="18"/>
      <c r="M1416" s="18"/>
      <c r="N1416" s="18"/>
      <c r="O1416" s="18"/>
      <c r="P1416" s="18"/>
      <c r="Q1416" s="18"/>
    </row>
    <row r="1417" spans="6:17">
      <c r="F1417" s="18"/>
      <c r="G1417" s="18"/>
      <c r="H1417" s="18"/>
      <c r="I1417" s="18"/>
      <c r="J1417" s="18"/>
      <c r="K1417" s="18"/>
      <c r="L1417" s="18"/>
      <c r="M1417" s="18"/>
      <c r="N1417" s="18"/>
      <c r="O1417" s="18"/>
      <c r="P1417" s="18"/>
      <c r="Q1417" s="18"/>
    </row>
    <row r="1418" spans="6:17">
      <c r="F1418" s="18"/>
      <c r="G1418" s="18"/>
      <c r="H1418" s="18"/>
      <c r="I1418" s="18"/>
      <c r="J1418" s="18"/>
      <c r="K1418" s="18"/>
      <c r="L1418" s="18"/>
      <c r="M1418" s="18"/>
      <c r="N1418" s="18"/>
      <c r="O1418" s="18"/>
      <c r="P1418" s="18"/>
      <c r="Q1418" s="18"/>
    </row>
    <row r="1419" spans="6:17">
      <c r="F1419" s="18"/>
      <c r="G1419" s="18"/>
      <c r="H1419" s="18"/>
      <c r="I1419" s="18"/>
      <c r="J1419" s="18"/>
      <c r="K1419" s="18"/>
      <c r="L1419" s="18"/>
      <c r="M1419" s="18"/>
      <c r="N1419" s="18"/>
      <c r="O1419" s="18"/>
      <c r="P1419" s="18"/>
      <c r="Q1419" s="18"/>
    </row>
    <row r="1420" spans="6:17">
      <c r="F1420" s="18"/>
      <c r="G1420" s="18"/>
      <c r="H1420" s="18"/>
      <c r="I1420" s="18"/>
      <c r="J1420" s="18"/>
      <c r="K1420" s="18"/>
      <c r="L1420" s="18"/>
      <c r="M1420" s="18"/>
      <c r="N1420" s="18"/>
      <c r="O1420" s="18"/>
      <c r="P1420" s="18"/>
      <c r="Q1420" s="18"/>
    </row>
    <row r="1421" spans="6:17">
      <c r="F1421" s="18"/>
      <c r="G1421" s="18"/>
      <c r="H1421" s="18"/>
      <c r="I1421" s="18"/>
      <c r="J1421" s="18"/>
      <c r="K1421" s="18"/>
      <c r="L1421" s="18"/>
      <c r="M1421" s="18"/>
      <c r="N1421" s="18"/>
      <c r="O1421" s="18"/>
      <c r="P1421" s="18"/>
      <c r="Q1421" s="18"/>
    </row>
    <row r="1422" spans="6:17">
      <c r="F1422" s="18"/>
      <c r="G1422" s="18"/>
      <c r="H1422" s="18"/>
      <c r="I1422" s="18"/>
      <c r="J1422" s="18"/>
      <c r="K1422" s="18"/>
      <c r="L1422" s="18"/>
      <c r="M1422" s="18"/>
      <c r="N1422" s="18"/>
      <c r="O1422" s="18"/>
      <c r="P1422" s="18"/>
      <c r="Q1422" s="18"/>
    </row>
    <row r="1423" spans="6:17">
      <c r="F1423" s="18"/>
      <c r="G1423" s="18"/>
      <c r="H1423" s="18"/>
      <c r="I1423" s="18"/>
      <c r="J1423" s="18"/>
      <c r="K1423" s="18"/>
      <c r="L1423" s="18"/>
      <c r="M1423" s="18"/>
      <c r="N1423" s="18"/>
      <c r="O1423" s="18"/>
      <c r="P1423" s="18"/>
      <c r="Q1423" s="18"/>
    </row>
    <row r="1424" spans="6:17">
      <c r="F1424" s="18"/>
      <c r="G1424" s="18"/>
      <c r="H1424" s="18"/>
      <c r="I1424" s="18"/>
      <c r="J1424" s="18"/>
      <c r="K1424" s="18"/>
      <c r="L1424" s="18"/>
      <c r="M1424" s="18"/>
      <c r="N1424" s="18"/>
      <c r="O1424" s="18"/>
      <c r="P1424" s="18"/>
      <c r="Q1424" s="18"/>
    </row>
    <row r="1425" spans="6:17">
      <c r="F1425" s="18"/>
      <c r="G1425" s="18"/>
      <c r="H1425" s="18"/>
      <c r="I1425" s="18"/>
      <c r="J1425" s="18"/>
      <c r="K1425" s="18"/>
      <c r="L1425" s="18"/>
      <c r="M1425" s="18"/>
      <c r="N1425" s="18"/>
      <c r="O1425" s="18"/>
      <c r="P1425" s="18"/>
      <c r="Q1425" s="18"/>
    </row>
    <row r="1426" spans="6:17">
      <c r="F1426" s="18"/>
      <c r="G1426" s="18"/>
      <c r="H1426" s="18"/>
      <c r="I1426" s="18"/>
      <c r="J1426" s="18"/>
      <c r="K1426" s="18"/>
      <c r="L1426" s="18"/>
      <c r="M1426" s="18"/>
      <c r="N1426" s="18"/>
      <c r="O1426" s="18"/>
      <c r="P1426" s="18"/>
      <c r="Q1426" s="18"/>
    </row>
    <row r="1427" spans="6:17">
      <c r="F1427" s="18"/>
      <c r="G1427" s="18"/>
      <c r="H1427" s="18"/>
      <c r="I1427" s="18"/>
      <c r="J1427" s="18"/>
      <c r="K1427" s="18"/>
      <c r="L1427" s="18"/>
      <c r="M1427" s="18"/>
      <c r="N1427" s="18"/>
      <c r="O1427" s="18"/>
      <c r="P1427" s="18"/>
      <c r="Q1427" s="18"/>
    </row>
    <row r="1428" spans="6:17">
      <c r="F1428" s="18"/>
      <c r="G1428" s="18"/>
      <c r="H1428" s="18"/>
      <c r="I1428" s="18"/>
      <c r="J1428" s="18"/>
      <c r="K1428" s="18"/>
      <c r="L1428" s="18"/>
      <c r="M1428" s="18"/>
      <c r="N1428" s="18"/>
      <c r="O1428" s="18"/>
      <c r="P1428" s="18"/>
      <c r="Q1428" s="18"/>
    </row>
    <row r="1429" spans="6:17">
      <c r="F1429" s="18"/>
      <c r="G1429" s="18"/>
      <c r="H1429" s="18"/>
      <c r="I1429" s="18"/>
      <c r="J1429" s="18"/>
      <c r="K1429" s="18"/>
      <c r="L1429" s="18"/>
      <c r="M1429" s="18"/>
      <c r="N1429" s="18"/>
      <c r="O1429" s="18"/>
      <c r="P1429" s="18"/>
      <c r="Q1429" s="18"/>
    </row>
    <row r="1430" spans="6:17">
      <c r="F1430" s="18"/>
      <c r="G1430" s="18"/>
      <c r="H1430" s="18"/>
      <c r="I1430" s="18"/>
      <c r="J1430" s="18"/>
      <c r="K1430" s="18"/>
      <c r="L1430" s="18"/>
      <c r="M1430" s="18"/>
      <c r="N1430" s="18"/>
      <c r="O1430" s="18"/>
      <c r="P1430" s="18"/>
      <c r="Q1430" s="18"/>
    </row>
    <row r="1431" spans="6:17">
      <c r="F1431" s="18"/>
      <c r="G1431" s="18"/>
      <c r="H1431" s="18"/>
      <c r="I1431" s="18"/>
      <c r="J1431" s="18"/>
      <c r="K1431" s="18"/>
      <c r="L1431" s="18"/>
      <c r="M1431" s="18"/>
      <c r="N1431" s="18"/>
      <c r="O1431" s="18"/>
      <c r="P1431" s="18"/>
      <c r="Q1431" s="18"/>
    </row>
    <row r="1432" spans="6:17">
      <c r="F1432" s="18"/>
      <c r="G1432" s="18"/>
      <c r="H1432" s="18"/>
      <c r="I1432" s="18"/>
      <c r="J1432" s="18"/>
      <c r="K1432" s="18"/>
      <c r="L1432" s="18"/>
      <c r="M1432" s="18"/>
      <c r="N1432" s="18"/>
      <c r="O1432" s="18"/>
      <c r="P1432" s="18"/>
      <c r="Q1432" s="18"/>
    </row>
    <row r="1433" spans="6:17">
      <c r="F1433" s="18"/>
      <c r="G1433" s="18"/>
      <c r="H1433" s="18"/>
      <c r="I1433" s="18"/>
      <c r="J1433" s="18"/>
      <c r="K1433" s="18"/>
      <c r="L1433" s="18"/>
      <c r="M1433" s="18"/>
      <c r="N1433" s="18"/>
      <c r="O1433" s="18"/>
      <c r="P1433" s="18"/>
      <c r="Q1433" s="18"/>
    </row>
    <row r="1434" spans="6:17">
      <c r="F1434" s="18"/>
      <c r="G1434" s="18"/>
      <c r="H1434" s="18"/>
      <c r="I1434" s="18"/>
      <c r="J1434" s="18"/>
      <c r="K1434" s="18"/>
      <c r="L1434" s="18"/>
      <c r="M1434" s="18"/>
      <c r="N1434" s="18"/>
      <c r="O1434" s="18"/>
      <c r="P1434" s="18"/>
      <c r="Q1434" s="18"/>
    </row>
    <row r="1435" spans="6:17">
      <c r="F1435" s="18"/>
      <c r="G1435" s="18"/>
      <c r="H1435" s="18"/>
      <c r="I1435" s="18"/>
      <c r="J1435" s="18"/>
      <c r="K1435" s="18"/>
      <c r="L1435" s="18"/>
      <c r="M1435" s="18"/>
      <c r="N1435" s="18"/>
      <c r="O1435" s="18"/>
      <c r="P1435" s="18"/>
      <c r="Q1435" s="18"/>
    </row>
    <row r="1436" spans="6:17">
      <c r="F1436" s="18"/>
      <c r="G1436" s="18"/>
      <c r="H1436" s="18"/>
      <c r="I1436" s="18"/>
      <c r="J1436" s="18"/>
      <c r="K1436" s="18"/>
      <c r="L1436" s="18"/>
      <c r="M1436" s="18"/>
      <c r="N1436" s="18"/>
      <c r="O1436" s="18"/>
      <c r="P1436" s="18"/>
      <c r="Q1436" s="18"/>
    </row>
    <row r="1437" spans="6:17">
      <c r="F1437" s="18"/>
      <c r="G1437" s="18"/>
      <c r="H1437" s="18"/>
      <c r="I1437" s="18"/>
      <c r="J1437" s="18"/>
      <c r="K1437" s="18"/>
      <c r="L1437" s="18"/>
      <c r="M1437" s="18"/>
      <c r="N1437" s="18"/>
      <c r="O1437" s="18"/>
      <c r="P1437" s="18"/>
      <c r="Q1437" s="18"/>
    </row>
    <row r="1438" spans="6:17">
      <c r="F1438" s="18"/>
      <c r="G1438" s="18"/>
      <c r="H1438" s="18"/>
      <c r="I1438" s="18"/>
      <c r="J1438" s="18"/>
      <c r="K1438" s="18"/>
      <c r="L1438" s="18"/>
      <c r="M1438" s="18"/>
      <c r="N1438" s="18"/>
      <c r="O1438" s="18"/>
      <c r="P1438" s="18"/>
      <c r="Q1438" s="18"/>
    </row>
    <row r="1439" spans="6:17">
      <c r="F1439" s="18"/>
      <c r="G1439" s="18"/>
      <c r="H1439" s="18"/>
      <c r="I1439" s="18"/>
      <c r="J1439" s="18"/>
      <c r="K1439" s="18"/>
      <c r="L1439" s="18"/>
      <c r="M1439" s="18"/>
      <c r="N1439" s="18"/>
      <c r="O1439" s="18"/>
      <c r="P1439" s="18"/>
      <c r="Q1439" s="18"/>
    </row>
    <row r="1440" spans="6:17">
      <c r="F1440" s="18"/>
      <c r="G1440" s="18"/>
      <c r="H1440" s="18"/>
      <c r="I1440" s="18"/>
      <c r="J1440" s="18"/>
      <c r="K1440" s="18"/>
      <c r="L1440" s="18"/>
      <c r="M1440" s="18"/>
      <c r="N1440" s="18"/>
      <c r="O1440" s="18"/>
      <c r="P1440" s="18"/>
      <c r="Q1440" s="18"/>
    </row>
    <row r="1441" spans="6:17">
      <c r="F1441" s="18"/>
      <c r="G1441" s="18"/>
      <c r="H1441" s="18"/>
      <c r="I1441" s="18"/>
      <c r="J1441" s="18"/>
      <c r="K1441" s="18"/>
      <c r="L1441" s="18"/>
      <c r="M1441" s="18"/>
      <c r="N1441" s="18"/>
      <c r="O1441" s="18"/>
      <c r="P1441" s="18"/>
      <c r="Q1441" s="18"/>
    </row>
    <row r="1442" spans="6:17">
      <c r="F1442" s="18"/>
      <c r="G1442" s="18"/>
      <c r="H1442" s="18"/>
      <c r="I1442" s="18"/>
      <c r="J1442" s="18"/>
      <c r="K1442" s="18"/>
      <c r="L1442" s="18"/>
      <c r="M1442" s="18"/>
      <c r="N1442" s="18"/>
      <c r="O1442" s="18"/>
      <c r="P1442" s="18"/>
      <c r="Q1442" s="18"/>
    </row>
    <row r="1443" spans="6:17">
      <c r="F1443" s="18"/>
      <c r="G1443" s="18"/>
      <c r="H1443" s="18"/>
      <c r="I1443" s="18"/>
      <c r="J1443" s="18"/>
      <c r="K1443" s="18"/>
      <c r="L1443" s="18"/>
      <c r="M1443" s="18"/>
      <c r="N1443" s="18"/>
      <c r="O1443" s="18"/>
      <c r="P1443" s="18"/>
      <c r="Q1443" s="18"/>
    </row>
    <row r="1444" spans="6:17">
      <c r="F1444" s="18"/>
      <c r="G1444" s="18"/>
      <c r="H1444" s="18"/>
      <c r="I1444" s="18"/>
      <c r="J1444" s="18"/>
      <c r="K1444" s="18"/>
      <c r="L1444" s="18"/>
      <c r="M1444" s="18"/>
      <c r="N1444" s="18"/>
      <c r="O1444" s="18"/>
      <c r="P1444" s="18"/>
      <c r="Q1444" s="18"/>
    </row>
    <row r="1445" spans="6:17">
      <c r="F1445" s="18"/>
      <c r="G1445" s="18"/>
      <c r="H1445" s="18"/>
      <c r="I1445" s="18"/>
      <c r="J1445" s="18"/>
      <c r="K1445" s="18"/>
      <c r="L1445" s="18"/>
      <c r="M1445" s="18"/>
      <c r="N1445" s="18"/>
      <c r="O1445" s="18"/>
      <c r="P1445" s="18"/>
      <c r="Q1445" s="18"/>
    </row>
    <row r="1446" spans="6:17">
      <c r="F1446" s="18"/>
      <c r="G1446" s="18"/>
      <c r="H1446" s="18"/>
      <c r="I1446" s="18"/>
      <c r="J1446" s="18"/>
      <c r="K1446" s="18"/>
      <c r="L1446" s="18"/>
      <c r="M1446" s="18"/>
      <c r="N1446" s="18"/>
      <c r="O1446" s="18"/>
      <c r="P1446" s="18"/>
      <c r="Q1446" s="18"/>
    </row>
    <row r="1447" spans="6:17">
      <c r="F1447" s="18"/>
      <c r="G1447" s="18"/>
      <c r="H1447" s="18"/>
      <c r="I1447" s="18"/>
      <c r="J1447" s="18"/>
      <c r="K1447" s="18"/>
      <c r="L1447" s="18"/>
      <c r="M1447" s="18"/>
      <c r="N1447" s="18"/>
      <c r="O1447" s="18"/>
      <c r="P1447" s="18"/>
      <c r="Q1447" s="18"/>
    </row>
    <row r="1448" spans="6:17">
      <c r="F1448" s="18"/>
      <c r="G1448" s="18"/>
      <c r="H1448" s="18"/>
      <c r="I1448" s="18"/>
      <c r="J1448" s="18"/>
      <c r="K1448" s="18"/>
      <c r="L1448" s="18"/>
      <c r="M1448" s="18"/>
      <c r="N1448" s="18"/>
      <c r="O1448" s="18"/>
      <c r="P1448" s="18"/>
      <c r="Q1448" s="18"/>
    </row>
    <row r="1449" spans="6:17">
      <c r="F1449" s="18"/>
      <c r="G1449" s="18"/>
      <c r="H1449" s="18"/>
      <c r="I1449" s="18"/>
      <c r="J1449" s="18"/>
      <c r="K1449" s="18"/>
      <c r="L1449" s="18"/>
      <c r="M1449" s="18"/>
      <c r="N1449" s="18"/>
      <c r="O1449" s="18"/>
      <c r="P1449" s="18"/>
      <c r="Q1449" s="18"/>
    </row>
    <row r="1450" spans="6:17">
      <c r="F1450" s="18"/>
      <c r="G1450" s="18"/>
      <c r="H1450" s="18"/>
      <c r="I1450" s="18"/>
      <c r="J1450" s="18"/>
      <c r="K1450" s="18"/>
      <c r="L1450" s="18"/>
      <c r="M1450" s="18"/>
      <c r="N1450" s="18"/>
      <c r="O1450" s="18"/>
      <c r="P1450" s="18"/>
      <c r="Q1450" s="18"/>
    </row>
    <row r="1451" spans="6:17">
      <c r="F1451" s="18"/>
      <c r="G1451" s="18"/>
      <c r="H1451" s="18"/>
      <c r="I1451" s="18"/>
      <c r="J1451" s="18"/>
      <c r="K1451" s="18"/>
      <c r="L1451" s="18"/>
      <c r="M1451" s="18"/>
      <c r="N1451" s="18"/>
      <c r="O1451" s="18"/>
      <c r="P1451" s="18"/>
      <c r="Q1451" s="18"/>
    </row>
    <row r="1452" spans="6:17">
      <c r="F1452" s="18"/>
      <c r="G1452" s="18"/>
      <c r="H1452" s="18"/>
      <c r="I1452" s="18"/>
      <c r="J1452" s="18"/>
      <c r="K1452" s="18"/>
      <c r="L1452" s="18"/>
      <c r="M1452" s="18"/>
      <c r="N1452" s="18"/>
      <c r="O1452" s="18"/>
      <c r="P1452" s="18"/>
      <c r="Q1452" s="18"/>
    </row>
    <row r="1453" spans="6:17">
      <c r="F1453" s="18"/>
      <c r="G1453" s="18"/>
      <c r="H1453" s="18"/>
      <c r="I1453" s="18"/>
      <c r="J1453" s="18"/>
      <c r="K1453" s="18"/>
      <c r="L1453" s="18"/>
      <c r="M1453" s="18"/>
      <c r="N1453" s="18"/>
      <c r="O1453" s="18"/>
      <c r="P1453" s="18"/>
      <c r="Q1453" s="18"/>
    </row>
    <row r="1454" spans="6:17">
      <c r="F1454" s="18"/>
      <c r="G1454" s="18"/>
      <c r="H1454" s="18"/>
      <c r="I1454" s="18"/>
      <c r="J1454" s="18"/>
      <c r="K1454" s="18"/>
      <c r="L1454" s="18"/>
      <c r="M1454" s="18"/>
      <c r="N1454" s="18"/>
      <c r="O1454" s="18"/>
      <c r="P1454" s="18"/>
      <c r="Q1454" s="18"/>
    </row>
    <row r="1455" spans="6:17">
      <c r="F1455" s="18"/>
      <c r="G1455" s="18"/>
      <c r="H1455" s="18"/>
      <c r="I1455" s="18"/>
      <c r="J1455" s="18"/>
      <c r="K1455" s="18"/>
      <c r="L1455" s="18"/>
      <c r="M1455" s="18"/>
      <c r="N1455" s="18"/>
      <c r="O1455" s="18"/>
      <c r="P1455" s="18"/>
      <c r="Q1455" s="18"/>
    </row>
    <row r="1456" spans="6:17">
      <c r="F1456" s="18"/>
      <c r="G1456" s="18"/>
      <c r="H1456" s="18"/>
      <c r="I1456" s="18"/>
      <c r="J1456" s="18"/>
      <c r="K1456" s="18"/>
      <c r="L1456" s="18"/>
      <c r="M1456" s="18"/>
      <c r="N1456" s="18"/>
      <c r="O1456" s="18"/>
      <c r="P1456" s="18"/>
      <c r="Q1456" s="18"/>
    </row>
    <row r="1457" spans="6:17">
      <c r="F1457" s="18"/>
      <c r="G1457" s="18"/>
      <c r="H1457" s="18"/>
      <c r="I1457" s="18"/>
      <c r="J1457" s="18"/>
      <c r="K1457" s="18"/>
      <c r="L1457" s="18"/>
      <c r="M1457" s="18"/>
      <c r="N1457" s="18"/>
      <c r="O1457" s="18"/>
      <c r="P1457" s="18"/>
      <c r="Q1457" s="18"/>
    </row>
    <row r="1458" spans="6:17">
      <c r="F1458" s="18"/>
      <c r="G1458" s="18"/>
      <c r="H1458" s="18"/>
      <c r="I1458" s="18"/>
      <c r="J1458" s="18"/>
      <c r="K1458" s="18"/>
      <c r="L1458" s="18"/>
      <c r="M1458" s="18"/>
      <c r="N1458" s="18"/>
      <c r="O1458" s="18"/>
      <c r="P1458" s="18"/>
      <c r="Q1458" s="18"/>
    </row>
    <row r="1459" spans="6:17">
      <c r="F1459" s="18"/>
      <c r="G1459" s="18"/>
      <c r="H1459" s="18"/>
      <c r="I1459" s="18"/>
      <c r="J1459" s="18"/>
      <c r="K1459" s="18"/>
      <c r="L1459" s="18"/>
      <c r="M1459" s="18"/>
      <c r="N1459" s="18"/>
      <c r="O1459" s="18"/>
      <c r="P1459" s="18"/>
      <c r="Q1459" s="18"/>
    </row>
    <row r="1460" spans="6:17">
      <c r="F1460" s="18"/>
      <c r="G1460" s="18"/>
      <c r="H1460" s="18"/>
      <c r="I1460" s="18"/>
      <c r="J1460" s="18"/>
      <c r="K1460" s="18"/>
      <c r="L1460" s="18"/>
      <c r="M1460" s="18"/>
      <c r="N1460" s="18"/>
      <c r="O1460" s="18"/>
      <c r="P1460" s="18"/>
      <c r="Q1460" s="18"/>
    </row>
    <row r="1461" spans="6:17">
      <c r="F1461" s="18"/>
      <c r="G1461" s="18"/>
      <c r="H1461" s="18"/>
      <c r="I1461" s="18"/>
      <c r="J1461" s="18"/>
      <c r="K1461" s="18"/>
      <c r="L1461" s="18"/>
      <c r="M1461" s="18"/>
      <c r="N1461" s="18"/>
      <c r="O1461" s="18"/>
      <c r="P1461" s="18"/>
      <c r="Q1461" s="18"/>
    </row>
    <row r="1462" spans="6:17">
      <c r="F1462" s="18"/>
      <c r="G1462" s="18"/>
      <c r="H1462" s="18"/>
      <c r="I1462" s="18"/>
      <c r="J1462" s="18"/>
      <c r="K1462" s="18"/>
      <c r="L1462" s="18"/>
      <c r="M1462" s="18"/>
      <c r="N1462" s="18"/>
      <c r="O1462" s="18"/>
      <c r="P1462" s="18"/>
      <c r="Q1462" s="18"/>
    </row>
    <row r="1463" spans="6:17">
      <c r="F1463" s="18"/>
      <c r="G1463" s="18"/>
      <c r="H1463" s="18"/>
      <c r="I1463" s="18"/>
      <c r="J1463" s="18"/>
      <c r="K1463" s="18"/>
      <c r="L1463" s="18"/>
      <c r="M1463" s="18"/>
      <c r="N1463" s="18"/>
      <c r="O1463" s="18"/>
      <c r="P1463" s="18"/>
      <c r="Q1463" s="18"/>
    </row>
    <row r="1464" spans="6:17">
      <c r="F1464" s="18"/>
      <c r="G1464" s="18"/>
      <c r="H1464" s="18"/>
      <c r="I1464" s="18"/>
      <c r="J1464" s="18"/>
      <c r="K1464" s="18"/>
      <c r="L1464" s="18"/>
      <c r="M1464" s="18"/>
      <c r="N1464" s="18"/>
      <c r="O1464" s="18"/>
      <c r="P1464" s="18"/>
      <c r="Q1464" s="18"/>
    </row>
    <row r="1465" spans="6:17">
      <c r="F1465" s="18"/>
      <c r="G1465" s="18"/>
      <c r="H1465" s="18"/>
      <c r="I1465" s="18"/>
      <c r="J1465" s="18"/>
      <c r="K1465" s="18"/>
      <c r="L1465" s="18"/>
      <c r="M1465" s="18"/>
      <c r="N1465" s="18"/>
      <c r="O1465" s="18"/>
      <c r="P1465" s="18"/>
      <c r="Q1465" s="18"/>
    </row>
    <row r="1466" spans="6:17">
      <c r="F1466" s="18"/>
      <c r="G1466" s="18"/>
      <c r="H1466" s="18"/>
      <c r="I1466" s="18"/>
      <c r="J1466" s="18"/>
      <c r="K1466" s="18"/>
      <c r="L1466" s="18"/>
      <c r="M1466" s="18"/>
      <c r="N1466" s="18"/>
      <c r="O1466" s="18"/>
      <c r="P1466" s="18"/>
      <c r="Q1466" s="18"/>
    </row>
    <row r="1467" spans="6:17">
      <c r="F1467" s="18"/>
      <c r="G1467" s="18"/>
      <c r="H1467" s="18"/>
      <c r="I1467" s="18"/>
      <c r="J1467" s="18"/>
      <c r="K1467" s="18"/>
      <c r="L1467" s="18"/>
      <c r="M1467" s="18"/>
      <c r="N1467" s="18"/>
      <c r="O1467" s="18"/>
      <c r="P1467" s="18"/>
      <c r="Q1467" s="18"/>
    </row>
    <row r="1468" spans="6:17">
      <c r="F1468" s="18"/>
      <c r="G1468" s="18"/>
      <c r="H1468" s="18"/>
      <c r="I1468" s="18"/>
      <c r="J1468" s="18"/>
      <c r="K1468" s="18"/>
      <c r="L1468" s="18"/>
      <c r="M1468" s="18"/>
      <c r="N1468" s="18"/>
      <c r="O1468" s="18"/>
      <c r="P1468" s="18"/>
      <c r="Q1468" s="18"/>
    </row>
    <row r="1469" spans="6:17">
      <c r="F1469" s="18"/>
      <c r="G1469" s="18"/>
      <c r="H1469" s="18"/>
      <c r="I1469" s="18"/>
      <c r="J1469" s="18"/>
      <c r="K1469" s="18"/>
      <c r="L1469" s="18"/>
      <c r="M1469" s="18"/>
      <c r="N1469" s="18"/>
      <c r="O1469" s="18"/>
      <c r="P1469" s="18"/>
      <c r="Q1469" s="18"/>
    </row>
    <row r="1470" spans="6:17">
      <c r="F1470" s="18"/>
      <c r="G1470" s="18"/>
      <c r="H1470" s="18"/>
      <c r="I1470" s="18"/>
      <c r="J1470" s="18"/>
      <c r="K1470" s="18"/>
      <c r="L1470" s="18"/>
      <c r="M1470" s="18"/>
      <c r="N1470" s="18"/>
      <c r="O1470" s="18"/>
      <c r="P1470" s="18"/>
      <c r="Q1470" s="18"/>
    </row>
    <row r="1471" spans="6:17">
      <c r="F1471" s="18"/>
      <c r="G1471" s="18"/>
      <c r="H1471" s="18"/>
      <c r="I1471" s="18"/>
      <c r="J1471" s="18"/>
      <c r="K1471" s="18"/>
      <c r="L1471" s="18"/>
      <c r="M1471" s="18"/>
      <c r="N1471" s="18"/>
      <c r="O1471" s="18"/>
      <c r="P1471" s="18"/>
      <c r="Q1471" s="18"/>
    </row>
    <row r="1472" spans="6:17">
      <c r="F1472" s="18"/>
      <c r="G1472" s="18"/>
      <c r="H1472" s="18"/>
      <c r="I1472" s="18"/>
      <c r="J1472" s="18"/>
      <c r="K1472" s="18"/>
      <c r="L1472" s="18"/>
      <c r="M1472" s="18"/>
      <c r="N1472" s="18"/>
      <c r="O1472" s="18"/>
      <c r="P1472" s="18"/>
      <c r="Q1472" s="18"/>
    </row>
    <row r="1473" spans="6:17">
      <c r="F1473" s="18"/>
      <c r="G1473" s="18"/>
      <c r="H1473" s="18"/>
      <c r="I1473" s="18"/>
      <c r="J1473" s="18"/>
      <c r="K1473" s="18"/>
      <c r="L1473" s="18"/>
      <c r="M1473" s="18"/>
      <c r="N1473" s="18"/>
      <c r="O1473" s="18"/>
      <c r="P1473" s="18"/>
      <c r="Q1473" s="18"/>
    </row>
    <row r="1474" spans="6:17">
      <c r="F1474" s="18"/>
      <c r="G1474" s="18"/>
      <c r="H1474" s="18"/>
      <c r="I1474" s="18"/>
      <c r="J1474" s="18"/>
      <c r="K1474" s="18"/>
      <c r="L1474" s="18"/>
      <c r="M1474" s="18"/>
      <c r="N1474" s="18"/>
      <c r="O1474" s="18"/>
      <c r="P1474" s="18"/>
      <c r="Q1474" s="18"/>
    </row>
    <row r="1475" spans="6:17">
      <c r="F1475" s="18"/>
      <c r="G1475" s="18"/>
      <c r="H1475" s="18"/>
      <c r="I1475" s="18"/>
      <c r="J1475" s="18"/>
      <c r="K1475" s="18"/>
      <c r="L1475" s="18"/>
      <c r="M1475" s="18"/>
      <c r="N1475" s="18"/>
      <c r="O1475" s="18"/>
      <c r="P1475" s="18"/>
      <c r="Q1475" s="18"/>
    </row>
    <row r="1476" spans="6:17">
      <c r="F1476" s="18"/>
      <c r="G1476" s="18"/>
      <c r="H1476" s="18"/>
      <c r="I1476" s="18"/>
      <c r="J1476" s="18"/>
      <c r="K1476" s="18"/>
      <c r="L1476" s="18"/>
      <c r="M1476" s="18"/>
      <c r="N1476" s="18"/>
      <c r="O1476" s="18"/>
      <c r="P1476" s="18"/>
      <c r="Q1476" s="18"/>
    </row>
    <row r="1477" spans="6:17">
      <c r="F1477" s="18"/>
      <c r="G1477" s="18"/>
      <c r="H1477" s="18"/>
      <c r="I1477" s="18"/>
      <c r="J1477" s="18"/>
      <c r="K1477" s="18"/>
      <c r="L1477" s="18"/>
      <c r="M1477" s="18"/>
      <c r="N1477" s="18"/>
      <c r="O1477" s="18"/>
      <c r="P1477" s="18"/>
      <c r="Q1477" s="18"/>
    </row>
    <row r="1478" spans="6:17">
      <c r="F1478" s="18"/>
      <c r="G1478" s="18"/>
      <c r="H1478" s="18"/>
      <c r="I1478" s="18"/>
      <c r="J1478" s="18"/>
      <c r="K1478" s="18"/>
      <c r="L1478" s="18"/>
      <c r="M1478" s="18"/>
      <c r="N1478" s="18"/>
      <c r="O1478" s="18"/>
      <c r="P1478" s="18"/>
      <c r="Q1478" s="18"/>
    </row>
    <row r="1479" spans="6:17">
      <c r="F1479" s="18"/>
      <c r="G1479" s="18"/>
      <c r="H1479" s="18"/>
      <c r="I1479" s="18"/>
      <c r="J1479" s="18"/>
      <c r="K1479" s="18"/>
      <c r="L1479" s="18"/>
      <c r="M1479" s="18"/>
      <c r="N1479" s="18"/>
      <c r="O1479" s="18"/>
      <c r="P1479" s="18"/>
      <c r="Q1479" s="18"/>
    </row>
    <row r="1480" spans="6:17">
      <c r="F1480" s="18"/>
      <c r="G1480" s="18"/>
      <c r="H1480" s="18"/>
      <c r="I1480" s="18"/>
      <c r="J1480" s="18"/>
      <c r="K1480" s="18"/>
      <c r="L1480" s="18"/>
      <c r="M1480" s="18"/>
      <c r="N1480" s="18"/>
      <c r="O1480" s="18"/>
      <c r="P1480" s="18"/>
      <c r="Q1480" s="18"/>
    </row>
    <row r="1481" spans="6:17">
      <c r="F1481" s="18"/>
      <c r="G1481" s="18"/>
      <c r="H1481" s="18"/>
      <c r="I1481" s="18"/>
      <c r="J1481" s="18"/>
      <c r="K1481" s="18"/>
      <c r="L1481" s="18"/>
      <c r="M1481" s="18"/>
      <c r="N1481" s="18"/>
      <c r="O1481" s="18"/>
      <c r="P1481" s="18"/>
      <c r="Q1481" s="18"/>
    </row>
    <row r="1482" spans="6:17">
      <c r="F1482" s="18"/>
      <c r="G1482" s="18"/>
      <c r="H1482" s="18"/>
      <c r="I1482" s="18"/>
      <c r="J1482" s="18"/>
      <c r="K1482" s="18"/>
      <c r="L1482" s="18"/>
      <c r="M1482" s="18"/>
      <c r="N1482" s="18"/>
      <c r="O1482" s="18"/>
      <c r="P1482" s="18"/>
      <c r="Q1482" s="18"/>
    </row>
    <row r="1483" spans="6:17">
      <c r="F1483" s="18"/>
      <c r="G1483" s="18"/>
      <c r="H1483" s="18"/>
      <c r="I1483" s="18"/>
      <c r="J1483" s="18"/>
      <c r="K1483" s="18"/>
      <c r="L1483" s="18"/>
      <c r="M1483" s="18"/>
      <c r="N1483" s="18"/>
      <c r="O1483" s="18"/>
      <c r="P1483" s="18"/>
      <c r="Q1483" s="18"/>
    </row>
    <row r="1484" spans="6:17">
      <c r="F1484" s="36" t="e">
        <f>(#REF!-#REF!)/#REF!</f>
        <v>#REF!</v>
      </c>
      <c r="G1484" s="36" t="e">
        <f>(#REF!-#REF!)/#REF!</f>
        <v>#REF!</v>
      </c>
      <c r="H1484" s="36" t="e">
        <f>(#REF!-#REF!)/#REF!</f>
        <v>#REF!</v>
      </c>
      <c r="I1484" s="36" t="e">
        <f>(#REF!-#REF!)/#REF!</f>
        <v>#REF!</v>
      </c>
      <c r="J1484" s="36" t="e">
        <f>(#REF!-#REF!)/#REF!</f>
        <v>#REF!</v>
      </c>
      <c r="K1484" s="36" t="e">
        <f>(C1484-C1241)/C1241</f>
        <v>#DIV/0!</v>
      </c>
      <c r="L1484" s="36" t="e">
        <f>(D1484-D1241)/D1241</f>
        <v>#DIV/0!</v>
      </c>
      <c r="M1484" s="36" t="e">
        <f>(F1484-F1241)/F1241</f>
        <v>#REF!</v>
      </c>
      <c r="N1484" s="36" t="e">
        <f>(G1484-G1241)/G1241</f>
        <v>#REF!</v>
      </c>
      <c r="O1484" s="36" t="e">
        <f>(H1484-H1241)/H1241</f>
        <v>#REF!</v>
      </c>
      <c r="P1484" s="36" t="e">
        <f>(I1484-I1241)/I1241</f>
        <v>#REF!</v>
      </c>
      <c r="Q1484" s="36"/>
    </row>
    <row r="1485" spans="6:17">
      <c r="F1485" s="18"/>
      <c r="G1485" s="18"/>
      <c r="H1485" s="18"/>
      <c r="I1485" s="18"/>
      <c r="J1485" s="18"/>
      <c r="K1485" s="18"/>
      <c r="L1485" s="18"/>
      <c r="M1485" s="18"/>
      <c r="N1485" s="18"/>
      <c r="O1485" s="18"/>
      <c r="P1485" s="18"/>
      <c r="Q1485" s="18"/>
    </row>
    <row r="1486" spans="6:17">
      <c r="F1486" s="18"/>
      <c r="G1486" s="18"/>
      <c r="H1486" s="18"/>
      <c r="I1486" s="18"/>
      <c r="J1486" s="18"/>
      <c r="K1486" s="18"/>
      <c r="L1486" s="18"/>
      <c r="M1486" s="18"/>
      <c r="N1486" s="18"/>
      <c r="O1486" s="18"/>
      <c r="P1486" s="18"/>
      <c r="Q1486" s="18"/>
    </row>
    <row r="1487" spans="6:17">
      <c r="F1487" s="18"/>
      <c r="G1487" s="18"/>
      <c r="H1487" s="18"/>
      <c r="I1487" s="18"/>
      <c r="J1487" s="18"/>
      <c r="K1487" s="18"/>
      <c r="L1487" s="18"/>
      <c r="M1487" s="18"/>
      <c r="N1487" s="18"/>
      <c r="O1487" s="18"/>
      <c r="P1487" s="18"/>
      <c r="Q1487" s="18"/>
    </row>
    <row r="1488" spans="6:17">
      <c r="F1488" s="18"/>
      <c r="G1488" s="18"/>
      <c r="H1488" s="18"/>
      <c r="I1488" s="18"/>
      <c r="J1488" s="18"/>
      <c r="K1488" s="18"/>
      <c r="L1488" s="18"/>
      <c r="M1488" s="18"/>
      <c r="N1488" s="18"/>
      <c r="O1488" s="18"/>
      <c r="P1488" s="18"/>
      <c r="Q1488" s="18"/>
    </row>
    <row r="1489" spans="6:17">
      <c r="F1489" s="18"/>
      <c r="G1489" s="18"/>
      <c r="H1489" s="18"/>
      <c r="I1489" s="18"/>
      <c r="J1489" s="18"/>
      <c r="K1489" s="18"/>
      <c r="L1489" s="18"/>
      <c r="M1489" s="18"/>
      <c r="N1489" s="18"/>
      <c r="O1489" s="18"/>
      <c r="P1489" s="18"/>
      <c r="Q1489" s="18"/>
    </row>
    <row r="1490" spans="6:17">
      <c r="F1490" s="18"/>
      <c r="G1490" s="18"/>
      <c r="H1490" s="18"/>
      <c r="I1490" s="18"/>
      <c r="J1490" s="18"/>
      <c r="K1490" s="18"/>
      <c r="L1490" s="18"/>
      <c r="M1490" s="18"/>
      <c r="N1490" s="18"/>
      <c r="O1490" s="18"/>
      <c r="P1490" s="18"/>
      <c r="Q1490" s="18"/>
    </row>
    <row r="1491" spans="6:17">
      <c r="F1491" s="18"/>
      <c r="G1491" s="18"/>
      <c r="H1491" s="18"/>
      <c r="I1491" s="18"/>
      <c r="J1491" s="18"/>
      <c r="K1491" s="18"/>
      <c r="L1491" s="18"/>
      <c r="M1491" s="18"/>
      <c r="N1491" s="18"/>
      <c r="O1491" s="18"/>
      <c r="P1491" s="18"/>
      <c r="Q1491" s="18"/>
    </row>
    <row r="1492" spans="6:17">
      <c r="F1492" s="18"/>
      <c r="G1492" s="18"/>
      <c r="H1492" s="18"/>
      <c r="I1492" s="18"/>
      <c r="J1492" s="18"/>
      <c r="K1492" s="18"/>
      <c r="L1492" s="18"/>
      <c r="M1492" s="18"/>
      <c r="N1492" s="18"/>
      <c r="O1492" s="18"/>
      <c r="P1492" s="18"/>
      <c r="Q1492" s="18"/>
    </row>
    <row r="1493" spans="6:17">
      <c r="F1493" s="18"/>
      <c r="G1493" s="18"/>
      <c r="H1493" s="18"/>
      <c r="I1493" s="18"/>
      <c r="J1493" s="18"/>
      <c r="K1493" s="18"/>
      <c r="L1493" s="18"/>
      <c r="M1493" s="18"/>
      <c r="N1493" s="18"/>
      <c r="O1493" s="18"/>
      <c r="P1493" s="18"/>
      <c r="Q1493" s="18"/>
    </row>
    <row r="1494" spans="6:17">
      <c r="F1494" s="18"/>
      <c r="G1494" s="18"/>
      <c r="H1494" s="18"/>
      <c r="I1494" s="18"/>
      <c r="J1494" s="18"/>
      <c r="K1494" s="18"/>
      <c r="L1494" s="18"/>
      <c r="M1494" s="18"/>
      <c r="N1494" s="18"/>
      <c r="O1494" s="18"/>
      <c r="P1494" s="18"/>
      <c r="Q1494" s="18"/>
    </row>
    <row r="1495" spans="6:17">
      <c r="F1495" s="18"/>
      <c r="G1495" s="18"/>
      <c r="H1495" s="18"/>
      <c r="I1495" s="18"/>
      <c r="J1495" s="18"/>
      <c r="K1495" s="18"/>
      <c r="L1495" s="18"/>
      <c r="M1495" s="18"/>
      <c r="N1495" s="18"/>
      <c r="O1495" s="18"/>
      <c r="P1495" s="18"/>
      <c r="Q1495" s="18"/>
    </row>
    <row r="1496" spans="6:17">
      <c r="F1496" s="18"/>
      <c r="G1496" s="18"/>
      <c r="H1496" s="18"/>
      <c r="I1496" s="18"/>
      <c r="J1496" s="18"/>
      <c r="K1496" s="18"/>
      <c r="L1496" s="18"/>
      <c r="M1496" s="18"/>
      <c r="N1496" s="18"/>
      <c r="O1496" s="18"/>
      <c r="P1496" s="18"/>
      <c r="Q1496" s="18"/>
    </row>
    <row r="1497" spans="6:17">
      <c r="F1497" s="18"/>
      <c r="G1497" s="18"/>
      <c r="H1497" s="18"/>
      <c r="I1497" s="18"/>
      <c r="J1497" s="18"/>
      <c r="K1497" s="18"/>
      <c r="L1497" s="18"/>
      <c r="M1497" s="18"/>
      <c r="N1497" s="18"/>
      <c r="O1497" s="18"/>
      <c r="P1497" s="18"/>
      <c r="Q1497" s="18"/>
    </row>
    <row r="1498" spans="6:17">
      <c r="F1498" s="18"/>
      <c r="G1498" s="18"/>
      <c r="H1498" s="18"/>
      <c r="I1498" s="18"/>
      <c r="J1498" s="18"/>
      <c r="K1498" s="18"/>
      <c r="L1498" s="18"/>
      <c r="M1498" s="18"/>
      <c r="N1498" s="18"/>
      <c r="O1498" s="18"/>
      <c r="P1498" s="18"/>
      <c r="Q1498" s="18"/>
    </row>
    <row r="1499" spans="6:17">
      <c r="F1499" s="18"/>
      <c r="G1499" s="18"/>
      <c r="H1499" s="18"/>
      <c r="I1499" s="18"/>
      <c r="J1499" s="18"/>
      <c r="K1499" s="18"/>
      <c r="L1499" s="18"/>
      <c r="M1499" s="18"/>
      <c r="N1499" s="18"/>
      <c r="O1499" s="18"/>
      <c r="P1499" s="18"/>
      <c r="Q1499" s="18"/>
    </row>
    <row r="1500" spans="6:17">
      <c r="F1500" s="18"/>
      <c r="G1500" s="18"/>
      <c r="H1500" s="18"/>
      <c r="I1500" s="18"/>
      <c r="J1500" s="18"/>
      <c r="K1500" s="18"/>
      <c r="L1500" s="18"/>
      <c r="M1500" s="18"/>
      <c r="N1500" s="18"/>
      <c r="O1500" s="18"/>
      <c r="P1500" s="18"/>
      <c r="Q1500" s="18"/>
    </row>
    <row r="1501" spans="6:17">
      <c r="F1501" s="18"/>
      <c r="G1501" s="18"/>
      <c r="H1501" s="18"/>
      <c r="I1501" s="18"/>
      <c r="J1501" s="18"/>
      <c r="K1501" s="18"/>
      <c r="L1501" s="18"/>
      <c r="M1501" s="18"/>
      <c r="N1501" s="18"/>
      <c r="O1501" s="18"/>
      <c r="P1501" s="18"/>
      <c r="Q1501" s="18"/>
    </row>
    <row r="1502" spans="6:17">
      <c r="F1502" s="18"/>
      <c r="G1502" s="18"/>
      <c r="H1502" s="18"/>
      <c r="I1502" s="18"/>
      <c r="J1502" s="18"/>
      <c r="K1502" s="18"/>
      <c r="L1502" s="18"/>
      <c r="M1502" s="18"/>
      <c r="N1502" s="18"/>
      <c r="O1502" s="18"/>
      <c r="P1502" s="18"/>
      <c r="Q1502" s="18"/>
    </row>
    <row r="1503" spans="6:17">
      <c r="F1503" s="18"/>
      <c r="G1503" s="18"/>
      <c r="H1503" s="18"/>
      <c r="I1503" s="18"/>
      <c r="J1503" s="18"/>
      <c r="K1503" s="18"/>
      <c r="L1503" s="18"/>
      <c r="M1503" s="18"/>
      <c r="N1503" s="18"/>
      <c r="O1503" s="18"/>
      <c r="P1503" s="18"/>
      <c r="Q1503" s="18"/>
    </row>
    <row r="1504" spans="6:17">
      <c r="F1504" s="18"/>
      <c r="G1504" s="18"/>
      <c r="H1504" s="18"/>
      <c r="I1504" s="18"/>
      <c r="J1504" s="18"/>
      <c r="K1504" s="18"/>
      <c r="L1504" s="18"/>
      <c r="M1504" s="18"/>
      <c r="N1504" s="18"/>
      <c r="O1504" s="18"/>
      <c r="P1504" s="18"/>
      <c r="Q1504" s="18"/>
    </row>
    <row r="1505" spans="6:17">
      <c r="F1505" s="18"/>
      <c r="G1505" s="18"/>
      <c r="H1505" s="18"/>
      <c r="I1505" s="18"/>
      <c r="J1505" s="18"/>
      <c r="K1505" s="18"/>
      <c r="L1505" s="18"/>
      <c r="M1505" s="18"/>
      <c r="N1505" s="18"/>
      <c r="O1505" s="18"/>
      <c r="P1505" s="18"/>
      <c r="Q1505" s="18"/>
    </row>
    <row r="1506" spans="6:17">
      <c r="F1506" s="18"/>
      <c r="G1506" s="18"/>
      <c r="H1506" s="18"/>
      <c r="I1506" s="18"/>
      <c r="J1506" s="18"/>
      <c r="K1506" s="18"/>
      <c r="L1506" s="18"/>
      <c r="M1506" s="18"/>
      <c r="N1506" s="18"/>
      <c r="O1506" s="18"/>
      <c r="P1506" s="18"/>
      <c r="Q1506" s="18"/>
    </row>
    <row r="1507" spans="6:17">
      <c r="F1507" s="18"/>
      <c r="G1507" s="18"/>
      <c r="H1507" s="18"/>
      <c r="I1507" s="18"/>
      <c r="J1507" s="18"/>
      <c r="K1507" s="18"/>
      <c r="L1507" s="18"/>
      <c r="M1507" s="18"/>
      <c r="N1507" s="18"/>
      <c r="O1507" s="18"/>
      <c r="P1507" s="18"/>
      <c r="Q1507" s="18"/>
    </row>
    <row r="1508" spans="6:17">
      <c r="F1508" s="18"/>
      <c r="G1508" s="18"/>
      <c r="H1508" s="18"/>
      <c r="I1508" s="18"/>
      <c r="J1508" s="18"/>
      <c r="K1508" s="18"/>
      <c r="L1508" s="18"/>
      <c r="M1508" s="18"/>
      <c r="N1508" s="18"/>
      <c r="O1508" s="18"/>
      <c r="P1508" s="18"/>
      <c r="Q1508" s="18"/>
    </row>
    <row r="1509" spans="6:17">
      <c r="F1509" s="18"/>
      <c r="G1509" s="18"/>
      <c r="H1509" s="18"/>
      <c r="I1509" s="18"/>
      <c r="J1509" s="18"/>
      <c r="K1509" s="18"/>
      <c r="L1509" s="18"/>
      <c r="M1509" s="18"/>
      <c r="N1509" s="18"/>
      <c r="O1509" s="18"/>
      <c r="P1509" s="18"/>
      <c r="Q1509" s="18"/>
    </row>
    <row r="1510" spans="6:17">
      <c r="F1510" s="18"/>
      <c r="G1510" s="18"/>
      <c r="H1510" s="18"/>
      <c r="I1510" s="18"/>
      <c r="J1510" s="18"/>
      <c r="K1510" s="18"/>
      <c r="L1510" s="18"/>
      <c r="M1510" s="18"/>
      <c r="N1510" s="18"/>
      <c r="O1510" s="18"/>
      <c r="P1510" s="18"/>
      <c r="Q1510" s="18"/>
    </row>
    <row r="1511" spans="6:17">
      <c r="F1511" s="18"/>
      <c r="G1511" s="18"/>
      <c r="H1511" s="18"/>
      <c r="I1511" s="18"/>
      <c r="J1511" s="18"/>
      <c r="K1511" s="18"/>
      <c r="L1511" s="18"/>
      <c r="M1511" s="18"/>
      <c r="N1511" s="18"/>
      <c r="O1511" s="18"/>
      <c r="P1511" s="18"/>
      <c r="Q1511" s="18"/>
    </row>
    <row r="1512" spans="6:17">
      <c r="F1512" s="18"/>
      <c r="G1512" s="18"/>
      <c r="H1512" s="18"/>
      <c r="I1512" s="18"/>
      <c r="J1512" s="18"/>
      <c r="K1512" s="18"/>
      <c r="L1512" s="18"/>
      <c r="M1512" s="18"/>
      <c r="N1512" s="18"/>
      <c r="O1512" s="18"/>
      <c r="P1512" s="18"/>
      <c r="Q1512" s="18"/>
    </row>
    <row r="1513" spans="6:17">
      <c r="F1513" s="18"/>
      <c r="G1513" s="18"/>
      <c r="H1513" s="18"/>
      <c r="I1513" s="18"/>
      <c r="J1513" s="18"/>
      <c r="K1513" s="18"/>
      <c r="L1513" s="18"/>
      <c r="M1513" s="18"/>
      <c r="N1513" s="18"/>
      <c r="O1513" s="18"/>
      <c r="P1513" s="18"/>
      <c r="Q1513" s="18"/>
    </row>
    <row r="1514" spans="6:17">
      <c r="F1514" s="18"/>
      <c r="G1514" s="18"/>
      <c r="H1514" s="18"/>
      <c r="I1514" s="18"/>
      <c r="J1514" s="18"/>
      <c r="K1514" s="18"/>
      <c r="L1514" s="18"/>
      <c r="M1514" s="18"/>
      <c r="N1514" s="18"/>
      <c r="O1514" s="18"/>
      <c r="P1514" s="18"/>
      <c r="Q1514" s="18"/>
    </row>
    <row r="1515" spans="6:17">
      <c r="F1515" s="18"/>
      <c r="G1515" s="18"/>
      <c r="H1515" s="18"/>
      <c r="I1515" s="18"/>
      <c r="J1515" s="18"/>
      <c r="K1515" s="18"/>
      <c r="L1515" s="18"/>
      <c r="M1515" s="18"/>
      <c r="N1515" s="18"/>
      <c r="O1515" s="18"/>
      <c r="P1515" s="18"/>
      <c r="Q1515" s="18"/>
    </row>
    <row r="1516" spans="6:17">
      <c r="F1516" s="18"/>
      <c r="G1516" s="18"/>
      <c r="H1516" s="18"/>
      <c r="I1516" s="18"/>
      <c r="J1516" s="18"/>
      <c r="K1516" s="18"/>
      <c r="L1516" s="18"/>
      <c r="M1516" s="18"/>
      <c r="N1516" s="18"/>
      <c r="O1516" s="18"/>
      <c r="P1516" s="18"/>
      <c r="Q1516" s="18"/>
    </row>
    <row r="1517" spans="6:17">
      <c r="F1517" s="18"/>
      <c r="G1517" s="18"/>
      <c r="H1517" s="18"/>
      <c r="I1517" s="18"/>
      <c r="J1517" s="18"/>
      <c r="K1517" s="18"/>
      <c r="L1517" s="18"/>
      <c r="M1517" s="18"/>
      <c r="N1517" s="18"/>
      <c r="O1517" s="18"/>
      <c r="P1517" s="18"/>
      <c r="Q1517" s="18"/>
    </row>
    <row r="1518" spans="6:17">
      <c r="F1518" s="18"/>
      <c r="G1518" s="18"/>
      <c r="H1518" s="18"/>
      <c r="I1518" s="18"/>
      <c r="J1518" s="18"/>
      <c r="K1518" s="18"/>
      <c r="L1518" s="18"/>
      <c r="M1518" s="18"/>
      <c r="N1518" s="18"/>
      <c r="O1518" s="18"/>
      <c r="P1518" s="18"/>
      <c r="Q1518" s="18"/>
    </row>
    <row r="1519" spans="6:17">
      <c r="F1519" s="18"/>
      <c r="G1519" s="18"/>
      <c r="H1519" s="18"/>
      <c r="I1519" s="18"/>
      <c r="J1519" s="18"/>
      <c r="K1519" s="18"/>
      <c r="L1519" s="18"/>
      <c r="M1519" s="18"/>
      <c r="N1519" s="18"/>
      <c r="O1519" s="18"/>
      <c r="P1519" s="18"/>
      <c r="Q1519" s="18"/>
    </row>
    <row r="1520" spans="6:17">
      <c r="F1520" s="18"/>
      <c r="G1520" s="18"/>
      <c r="H1520" s="18"/>
      <c r="I1520" s="18"/>
      <c r="J1520" s="18"/>
      <c r="K1520" s="18"/>
      <c r="L1520" s="18"/>
      <c r="M1520" s="18"/>
      <c r="N1520" s="18"/>
      <c r="O1520" s="18"/>
      <c r="P1520" s="18"/>
      <c r="Q1520" s="18"/>
    </row>
    <row r="1521" spans="6:17">
      <c r="F1521" s="18"/>
      <c r="G1521" s="18"/>
      <c r="H1521" s="18"/>
      <c r="I1521" s="18"/>
      <c r="J1521" s="18"/>
      <c r="K1521" s="18"/>
      <c r="L1521" s="18"/>
      <c r="M1521" s="18"/>
      <c r="N1521" s="18"/>
      <c r="O1521" s="18"/>
      <c r="P1521" s="18"/>
      <c r="Q1521" s="18"/>
    </row>
    <row r="1522" spans="6:17">
      <c r="F1522" s="18"/>
      <c r="G1522" s="18"/>
      <c r="H1522" s="18"/>
      <c r="I1522" s="18"/>
      <c r="J1522" s="18"/>
      <c r="K1522" s="18"/>
      <c r="L1522" s="18"/>
      <c r="M1522" s="18"/>
      <c r="N1522" s="18"/>
      <c r="O1522" s="18"/>
      <c r="P1522" s="18"/>
      <c r="Q1522" s="18"/>
    </row>
    <row r="1523" spans="6:17">
      <c r="F1523" s="18"/>
      <c r="G1523" s="18"/>
      <c r="H1523" s="18"/>
      <c r="I1523" s="18"/>
      <c r="J1523" s="18"/>
      <c r="K1523" s="18"/>
      <c r="L1523" s="18"/>
      <c r="M1523" s="18"/>
      <c r="N1523" s="18"/>
      <c r="O1523" s="18"/>
      <c r="P1523" s="18"/>
      <c r="Q1523" s="18"/>
    </row>
    <row r="1524" spans="6:17">
      <c r="F1524" s="18"/>
      <c r="G1524" s="18"/>
      <c r="H1524" s="18"/>
      <c r="I1524" s="18"/>
      <c r="J1524" s="18"/>
      <c r="K1524" s="18"/>
      <c r="L1524" s="18"/>
      <c r="M1524" s="18"/>
      <c r="N1524" s="18"/>
      <c r="O1524" s="18"/>
      <c r="P1524" s="18"/>
      <c r="Q1524" s="18"/>
    </row>
    <row r="1525" spans="6:17">
      <c r="F1525" s="18"/>
      <c r="G1525" s="18"/>
      <c r="H1525" s="18"/>
      <c r="I1525" s="18"/>
      <c r="J1525" s="18"/>
      <c r="K1525" s="18"/>
      <c r="L1525" s="18"/>
      <c r="M1525" s="18"/>
      <c r="N1525" s="18"/>
      <c r="O1525" s="18"/>
      <c r="P1525" s="18"/>
      <c r="Q1525" s="18"/>
    </row>
    <row r="1526" spans="6:17">
      <c r="F1526" s="18"/>
      <c r="G1526" s="18"/>
      <c r="H1526" s="18"/>
      <c r="I1526" s="18"/>
      <c r="J1526" s="18"/>
      <c r="K1526" s="18"/>
      <c r="L1526" s="18"/>
      <c r="M1526" s="18"/>
      <c r="N1526" s="18"/>
      <c r="O1526" s="18"/>
      <c r="P1526" s="18"/>
      <c r="Q1526" s="18"/>
    </row>
    <row r="1527" spans="6:17">
      <c r="F1527" s="18"/>
      <c r="G1527" s="18"/>
      <c r="H1527" s="18"/>
      <c r="I1527" s="18"/>
      <c r="J1527" s="18"/>
      <c r="K1527" s="18"/>
      <c r="L1527" s="18"/>
      <c r="M1527" s="18"/>
      <c r="N1527" s="18"/>
      <c r="O1527" s="18"/>
      <c r="P1527" s="18"/>
      <c r="Q1527" s="18"/>
    </row>
    <row r="1528" spans="6:17">
      <c r="F1528" s="18"/>
      <c r="G1528" s="18"/>
      <c r="H1528" s="18"/>
      <c r="I1528" s="18"/>
      <c r="J1528" s="18"/>
      <c r="K1528" s="18"/>
      <c r="L1528" s="18"/>
      <c r="M1528" s="18"/>
      <c r="N1528" s="18"/>
      <c r="O1528" s="18"/>
      <c r="P1528" s="18"/>
      <c r="Q1528" s="18"/>
    </row>
    <row r="1529" spans="6:17">
      <c r="F1529" s="18"/>
      <c r="G1529" s="18"/>
      <c r="H1529" s="18"/>
      <c r="I1529" s="18"/>
      <c r="J1529" s="18"/>
      <c r="K1529" s="18"/>
      <c r="L1529" s="18"/>
      <c r="M1529" s="18"/>
      <c r="N1529" s="18"/>
      <c r="O1529" s="18"/>
      <c r="P1529" s="18"/>
      <c r="Q1529" s="18"/>
    </row>
    <row r="1530" spans="6:17">
      <c r="F1530" s="18"/>
      <c r="G1530" s="18"/>
      <c r="H1530" s="18"/>
      <c r="I1530" s="18"/>
      <c r="J1530" s="18"/>
      <c r="K1530" s="18"/>
      <c r="L1530" s="18"/>
      <c r="M1530" s="18"/>
      <c r="N1530" s="18"/>
      <c r="O1530" s="18"/>
      <c r="P1530" s="18"/>
      <c r="Q1530" s="18"/>
    </row>
    <row r="1531" spans="6:17">
      <c r="F1531" s="18"/>
      <c r="G1531" s="18"/>
      <c r="H1531" s="18"/>
      <c r="I1531" s="18"/>
      <c r="J1531" s="18"/>
      <c r="K1531" s="18"/>
      <c r="L1531" s="18"/>
      <c r="M1531" s="18"/>
      <c r="N1531" s="18"/>
      <c r="O1531" s="18"/>
      <c r="P1531" s="18"/>
      <c r="Q1531" s="18"/>
    </row>
    <row r="1532" spans="6:17">
      <c r="F1532" s="18"/>
      <c r="G1532" s="18"/>
      <c r="H1532" s="18"/>
      <c r="I1532" s="18"/>
      <c r="J1532" s="18"/>
      <c r="K1532" s="18"/>
      <c r="L1532" s="18"/>
      <c r="M1532" s="18"/>
      <c r="N1532" s="18"/>
      <c r="O1532" s="18"/>
      <c r="P1532" s="18"/>
      <c r="Q1532" s="18"/>
    </row>
    <row r="1533" spans="6:17">
      <c r="F1533" s="18"/>
      <c r="G1533" s="18"/>
      <c r="H1533" s="18"/>
      <c r="I1533" s="18"/>
      <c r="J1533" s="18"/>
      <c r="K1533" s="18"/>
      <c r="L1533" s="18"/>
      <c r="M1533" s="18"/>
      <c r="N1533" s="18"/>
      <c r="O1533" s="18"/>
      <c r="P1533" s="18"/>
      <c r="Q1533" s="18"/>
    </row>
    <row r="1534" spans="6:17">
      <c r="F1534" s="18"/>
      <c r="G1534" s="18"/>
      <c r="H1534" s="18"/>
      <c r="I1534" s="18"/>
      <c r="J1534" s="18"/>
      <c r="K1534" s="18"/>
      <c r="L1534" s="18"/>
      <c r="M1534" s="18"/>
      <c r="N1534" s="18"/>
      <c r="O1534" s="18"/>
      <c r="P1534" s="18"/>
      <c r="Q1534" s="18"/>
    </row>
    <row r="1535" spans="6:17">
      <c r="F1535" s="18"/>
      <c r="G1535" s="18"/>
      <c r="H1535" s="18"/>
      <c r="I1535" s="18"/>
      <c r="J1535" s="18"/>
      <c r="K1535" s="18"/>
      <c r="L1535" s="18"/>
      <c r="M1535" s="18"/>
      <c r="N1535" s="18"/>
      <c r="O1535" s="18"/>
      <c r="P1535" s="18"/>
      <c r="Q1535" s="18"/>
    </row>
    <row r="1536" spans="6:17">
      <c r="F1536" s="18"/>
      <c r="G1536" s="18"/>
      <c r="H1536" s="18"/>
      <c r="I1536" s="18"/>
      <c r="J1536" s="18"/>
      <c r="K1536" s="18"/>
      <c r="L1536" s="18"/>
      <c r="M1536" s="18"/>
      <c r="N1536" s="18"/>
      <c r="O1536" s="18"/>
      <c r="P1536" s="18"/>
      <c r="Q1536" s="18"/>
    </row>
    <row r="1537" spans="6:17">
      <c r="F1537" s="18"/>
      <c r="G1537" s="18"/>
      <c r="H1537" s="18"/>
      <c r="I1537" s="18"/>
      <c r="J1537" s="18"/>
      <c r="K1537" s="18"/>
      <c r="L1537" s="18"/>
      <c r="M1537" s="18"/>
      <c r="N1537" s="18"/>
      <c r="O1537" s="18"/>
      <c r="P1537" s="18"/>
      <c r="Q1537" s="18"/>
    </row>
    <row r="1538" spans="6:17">
      <c r="F1538" s="18"/>
      <c r="G1538" s="18"/>
      <c r="H1538" s="18"/>
      <c r="I1538" s="18"/>
      <c r="J1538" s="18"/>
      <c r="K1538" s="18"/>
      <c r="L1538" s="18"/>
      <c r="M1538" s="18"/>
      <c r="N1538" s="18"/>
      <c r="O1538" s="18"/>
      <c r="P1538" s="18"/>
      <c r="Q1538" s="18"/>
    </row>
    <row r="1539" spans="6:17">
      <c r="F1539" s="18"/>
      <c r="G1539" s="18"/>
      <c r="H1539" s="18"/>
      <c r="I1539" s="18"/>
      <c r="J1539" s="18"/>
      <c r="K1539" s="18"/>
      <c r="L1539" s="18"/>
      <c r="M1539" s="18"/>
      <c r="N1539" s="18"/>
      <c r="O1539" s="18"/>
      <c r="P1539" s="18"/>
      <c r="Q1539" s="18"/>
    </row>
    <row r="1540" spans="6:17">
      <c r="F1540" s="18"/>
      <c r="G1540" s="18"/>
      <c r="H1540" s="18"/>
      <c r="I1540" s="18"/>
      <c r="J1540" s="18"/>
      <c r="K1540" s="18"/>
      <c r="L1540" s="18"/>
      <c r="M1540" s="18"/>
      <c r="N1540" s="18"/>
      <c r="O1540" s="18"/>
      <c r="P1540" s="18"/>
      <c r="Q1540" s="18"/>
    </row>
    <row r="1541" spans="6:17">
      <c r="F1541" s="18"/>
      <c r="G1541" s="18"/>
      <c r="H1541" s="18"/>
      <c r="I1541" s="18"/>
      <c r="J1541" s="18"/>
      <c r="K1541" s="18"/>
      <c r="L1541" s="18"/>
      <c r="M1541" s="18"/>
      <c r="N1541" s="18"/>
      <c r="O1541" s="18"/>
      <c r="P1541" s="18"/>
      <c r="Q1541" s="18"/>
    </row>
    <row r="1542" spans="6:17">
      <c r="F1542" s="18"/>
      <c r="G1542" s="18"/>
      <c r="H1542" s="18"/>
      <c r="I1542" s="18"/>
      <c r="J1542" s="18"/>
      <c r="K1542" s="18"/>
      <c r="L1542" s="18"/>
      <c r="M1542" s="18"/>
      <c r="N1542" s="18"/>
      <c r="O1542" s="18"/>
      <c r="P1542" s="18"/>
      <c r="Q1542" s="18"/>
    </row>
    <row r="1543" spans="6:17">
      <c r="F1543" s="18"/>
      <c r="G1543" s="18"/>
      <c r="H1543" s="18"/>
      <c r="I1543" s="18"/>
      <c r="J1543" s="18"/>
      <c r="K1543" s="18"/>
      <c r="L1543" s="18"/>
      <c r="M1543" s="18"/>
      <c r="N1543" s="18"/>
      <c r="O1543" s="18"/>
      <c r="P1543" s="18"/>
      <c r="Q1543" s="18"/>
    </row>
    <row r="1544" spans="6:17">
      <c r="F1544" s="18"/>
      <c r="G1544" s="18"/>
      <c r="H1544" s="18"/>
      <c r="I1544" s="18"/>
      <c r="J1544" s="18"/>
      <c r="K1544" s="18"/>
      <c r="L1544" s="18"/>
      <c r="M1544" s="18"/>
      <c r="N1544" s="18"/>
      <c r="O1544" s="18"/>
      <c r="P1544" s="18"/>
      <c r="Q1544" s="18"/>
    </row>
    <row r="1545" spans="6:17">
      <c r="F1545" s="18"/>
      <c r="G1545" s="18"/>
      <c r="H1545" s="18"/>
      <c r="I1545" s="18"/>
      <c r="J1545" s="18"/>
      <c r="K1545" s="18"/>
      <c r="L1545" s="18"/>
      <c r="M1545" s="18"/>
      <c r="N1545" s="18"/>
      <c r="O1545" s="18"/>
      <c r="P1545" s="18"/>
      <c r="Q1545" s="18"/>
    </row>
    <row r="1546" spans="6:17">
      <c r="F1546" s="18"/>
      <c r="G1546" s="18"/>
      <c r="H1546" s="18"/>
      <c r="I1546" s="18"/>
      <c r="J1546" s="18"/>
      <c r="K1546" s="18"/>
      <c r="L1546" s="18"/>
      <c r="M1546" s="18"/>
      <c r="N1546" s="18"/>
      <c r="O1546" s="18"/>
      <c r="P1546" s="18"/>
      <c r="Q1546" s="18"/>
    </row>
    <row r="1547" spans="6:17">
      <c r="F1547" s="18"/>
      <c r="G1547" s="18"/>
      <c r="H1547" s="18"/>
      <c r="I1547" s="18"/>
      <c r="J1547" s="18"/>
      <c r="K1547" s="18"/>
      <c r="L1547" s="18"/>
      <c r="M1547" s="18"/>
      <c r="N1547" s="18"/>
      <c r="O1547" s="18"/>
      <c r="P1547" s="18"/>
      <c r="Q1547" s="18"/>
    </row>
    <row r="1548" spans="6:17">
      <c r="F1548" s="18"/>
      <c r="G1548" s="18"/>
      <c r="H1548" s="18"/>
      <c r="I1548" s="18"/>
      <c r="J1548" s="18"/>
      <c r="K1548" s="18"/>
      <c r="L1548" s="18"/>
      <c r="M1548" s="18"/>
      <c r="N1548" s="18"/>
      <c r="O1548" s="18"/>
      <c r="P1548" s="18"/>
      <c r="Q1548" s="18"/>
    </row>
    <row r="1549" spans="6:17">
      <c r="F1549" s="18"/>
      <c r="G1549" s="18"/>
      <c r="H1549" s="18"/>
      <c r="I1549" s="18"/>
      <c r="J1549" s="18"/>
      <c r="K1549" s="18"/>
      <c r="L1549" s="18"/>
      <c r="M1549" s="18"/>
      <c r="N1549" s="18"/>
      <c r="O1549" s="18"/>
      <c r="P1549" s="18"/>
      <c r="Q1549" s="18"/>
    </row>
    <row r="1550" spans="6:17">
      <c r="F1550" s="18"/>
      <c r="G1550" s="18"/>
      <c r="H1550" s="18"/>
      <c r="I1550" s="18"/>
      <c r="J1550" s="18"/>
      <c r="K1550" s="18"/>
      <c r="L1550" s="18"/>
      <c r="M1550" s="18"/>
      <c r="N1550" s="18"/>
      <c r="O1550" s="18"/>
      <c r="P1550" s="18"/>
      <c r="Q1550" s="18"/>
    </row>
    <row r="1551" spans="6:17">
      <c r="F1551" s="18"/>
      <c r="G1551" s="18"/>
      <c r="H1551" s="18"/>
      <c r="I1551" s="18"/>
      <c r="J1551" s="18"/>
      <c r="K1551" s="18"/>
      <c r="L1551" s="18"/>
      <c r="M1551" s="18"/>
      <c r="N1551" s="18"/>
      <c r="O1551" s="18"/>
      <c r="P1551" s="18"/>
      <c r="Q1551" s="18"/>
    </row>
    <row r="1552" spans="6:17">
      <c r="F1552" s="18"/>
      <c r="G1552" s="18"/>
      <c r="H1552" s="18"/>
      <c r="I1552" s="18"/>
      <c r="J1552" s="18"/>
      <c r="K1552" s="18"/>
      <c r="L1552" s="18"/>
      <c r="M1552" s="18"/>
      <c r="N1552" s="18"/>
      <c r="O1552" s="18"/>
      <c r="P1552" s="18"/>
      <c r="Q1552" s="18"/>
    </row>
    <row r="1553" spans="6:17">
      <c r="F1553" s="18"/>
      <c r="G1553" s="18"/>
      <c r="H1553" s="18"/>
      <c r="I1553" s="18"/>
      <c r="J1553" s="18"/>
      <c r="K1553" s="18"/>
      <c r="L1553" s="18"/>
      <c r="M1553" s="18"/>
      <c r="N1553" s="18"/>
      <c r="O1553" s="18"/>
      <c r="P1553" s="18"/>
      <c r="Q1553" s="18"/>
    </row>
    <row r="1554" spans="6:17">
      <c r="F1554" s="18"/>
      <c r="G1554" s="18"/>
      <c r="H1554" s="18"/>
      <c r="I1554" s="18"/>
      <c r="J1554" s="18"/>
      <c r="K1554" s="18"/>
      <c r="L1554" s="18"/>
      <c r="M1554" s="18"/>
      <c r="N1554" s="18"/>
      <c r="O1554" s="18"/>
      <c r="P1554" s="18"/>
      <c r="Q1554" s="18"/>
    </row>
    <row r="1555" spans="6:17">
      <c r="F1555" s="18"/>
      <c r="G1555" s="18"/>
      <c r="H1555" s="18"/>
      <c r="I1555" s="18"/>
      <c r="J1555" s="18"/>
      <c r="K1555" s="18"/>
      <c r="L1555" s="18"/>
      <c r="M1555" s="18"/>
      <c r="N1555" s="18"/>
      <c r="O1555" s="18"/>
      <c r="P1555" s="18"/>
      <c r="Q1555" s="18"/>
    </row>
    <row r="1556" spans="6:17">
      <c r="F1556" s="18"/>
      <c r="G1556" s="18"/>
      <c r="H1556" s="18"/>
      <c r="I1556" s="18"/>
      <c r="J1556" s="18"/>
      <c r="K1556" s="18"/>
      <c r="L1556" s="18"/>
      <c r="M1556" s="18"/>
      <c r="N1556" s="18"/>
      <c r="O1556" s="18"/>
      <c r="P1556" s="18"/>
      <c r="Q1556" s="18"/>
    </row>
    <row r="1557" spans="6:17">
      <c r="F1557" s="18"/>
      <c r="G1557" s="18"/>
      <c r="H1557" s="18"/>
      <c r="I1557" s="18"/>
      <c r="J1557" s="18"/>
      <c r="K1557" s="18"/>
      <c r="L1557" s="18"/>
      <c r="M1557" s="18"/>
      <c r="N1557" s="18"/>
      <c r="O1557" s="18"/>
      <c r="P1557" s="18"/>
      <c r="Q1557" s="18"/>
    </row>
    <row r="1558" spans="6:17">
      <c r="F1558" s="18"/>
      <c r="G1558" s="18"/>
      <c r="H1558" s="18"/>
      <c r="I1558" s="18"/>
      <c r="J1558" s="18"/>
      <c r="K1558" s="18"/>
      <c r="L1558" s="18"/>
      <c r="M1558" s="18"/>
      <c r="N1558" s="18"/>
      <c r="O1558" s="18"/>
      <c r="P1558" s="18"/>
      <c r="Q1558" s="18"/>
    </row>
    <row r="1559" spans="6:17">
      <c r="F1559" s="18"/>
      <c r="G1559" s="18"/>
      <c r="H1559" s="18"/>
      <c r="I1559" s="18"/>
      <c r="J1559" s="18"/>
      <c r="K1559" s="18"/>
      <c r="L1559" s="18"/>
      <c r="M1559" s="18"/>
      <c r="N1559" s="18"/>
      <c r="O1559" s="18"/>
      <c r="P1559" s="18"/>
      <c r="Q1559" s="18"/>
    </row>
    <row r="1560" spans="6:17">
      <c r="F1560" s="18"/>
      <c r="G1560" s="18"/>
      <c r="H1560" s="18"/>
      <c r="I1560" s="18"/>
      <c r="J1560" s="18"/>
      <c r="K1560" s="18"/>
      <c r="L1560" s="18"/>
      <c r="M1560" s="18"/>
      <c r="N1560" s="18"/>
      <c r="O1560" s="18"/>
      <c r="P1560" s="18"/>
      <c r="Q1560" s="18"/>
    </row>
    <row r="1561" spans="6:17">
      <c r="F1561" s="18"/>
      <c r="G1561" s="18"/>
      <c r="H1561" s="18"/>
      <c r="I1561" s="18"/>
      <c r="J1561" s="18"/>
      <c r="K1561" s="18"/>
      <c r="L1561" s="18"/>
      <c r="M1561" s="18"/>
      <c r="N1561" s="18"/>
      <c r="O1561" s="18"/>
      <c r="P1561" s="18"/>
      <c r="Q1561" s="18"/>
    </row>
    <row r="1562" spans="6:17">
      <c r="F1562" s="18"/>
      <c r="G1562" s="18"/>
      <c r="H1562" s="18"/>
      <c r="I1562" s="18"/>
      <c r="J1562" s="18"/>
      <c r="K1562" s="18"/>
      <c r="L1562" s="18"/>
      <c r="M1562" s="18"/>
      <c r="N1562" s="18"/>
      <c r="O1562" s="18"/>
      <c r="P1562" s="18"/>
      <c r="Q1562" s="18"/>
    </row>
    <row r="1563" spans="6:17">
      <c r="F1563" s="18"/>
      <c r="G1563" s="18"/>
      <c r="H1563" s="18"/>
      <c r="I1563" s="18"/>
      <c r="J1563" s="18"/>
      <c r="K1563" s="18"/>
      <c r="L1563" s="18"/>
      <c r="M1563" s="18"/>
      <c r="N1563" s="18"/>
      <c r="O1563" s="18"/>
      <c r="P1563" s="18"/>
      <c r="Q1563" s="18"/>
    </row>
    <row r="1564" spans="6:17">
      <c r="F1564" s="18"/>
      <c r="G1564" s="18"/>
      <c r="H1564" s="18"/>
      <c r="I1564" s="18"/>
      <c r="J1564" s="18"/>
      <c r="K1564" s="18"/>
      <c r="L1564" s="18"/>
      <c r="M1564" s="18"/>
      <c r="N1564" s="18"/>
      <c r="O1564" s="18"/>
      <c r="P1564" s="18"/>
      <c r="Q1564" s="18"/>
    </row>
    <row r="1565" spans="6:17">
      <c r="F1565" s="18"/>
      <c r="G1565" s="18"/>
      <c r="H1565" s="18"/>
      <c r="I1565" s="18"/>
      <c r="J1565" s="18"/>
      <c r="K1565" s="18"/>
      <c r="L1565" s="18"/>
      <c r="M1565" s="18"/>
      <c r="N1565" s="18"/>
      <c r="O1565" s="18"/>
      <c r="P1565" s="18"/>
      <c r="Q1565" s="18"/>
    </row>
    <row r="1566" spans="6:17">
      <c r="F1566" s="18"/>
      <c r="G1566" s="18"/>
      <c r="H1566" s="18"/>
      <c r="I1566" s="18"/>
      <c r="J1566" s="18"/>
      <c r="K1566" s="18"/>
      <c r="L1566" s="18"/>
      <c r="M1566" s="18"/>
      <c r="N1566" s="18"/>
      <c r="O1566" s="18"/>
      <c r="P1566" s="18"/>
      <c r="Q1566" s="18"/>
    </row>
    <row r="1567" spans="6:17">
      <c r="F1567" s="18"/>
      <c r="G1567" s="18"/>
      <c r="H1567" s="18"/>
      <c r="I1567" s="18"/>
      <c r="J1567" s="18"/>
      <c r="K1567" s="18"/>
      <c r="L1567" s="18"/>
      <c r="M1567" s="18"/>
      <c r="N1567" s="18"/>
      <c r="O1567" s="18"/>
      <c r="P1567" s="18"/>
      <c r="Q1567" s="18"/>
    </row>
    <row r="1568" spans="6:17">
      <c r="F1568" s="18"/>
      <c r="G1568" s="18"/>
      <c r="H1568" s="18"/>
      <c r="I1568" s="18"/>
      <c r="J1568" s="18"/>
      <c r="K1568" s="18"/>
      <c r="L1568" s="18"/>
      <c r="M1568" s="18"/>
      <c r="N1568" s="18"/>
      <c r="O1568" s="18"/>
      <c r="P1568" s="18"/>
      <c r="Q1568" s="18"/>
    </row>
    <row r="1569" spans="6:17">
      <c r="F1569" s="18"/>
      <c r="G1569" s="18"/>
      <c r="H1569" s="18"/>
      <c r="I1569" s="18"/>
      <c r="J1569" s="18"/>
      <c r="K1569" s="18"/>
      <c r="L1569" s="18"/>
      <c r="M1569" s="18"/>
      <c r="N1569" s="18"/>
      <c r="O1569" s="18"/>
      <c r="P1569" s="18"/>
      <c r="Q1569" s="18"/>
    </row>
    <row r="1570" spans="6:17">
      <c r="F1570" s="18"/>
      <c r="G1570" s="18"/>
      <c r="H1570" s="18"/>
      <c r="I1570" s="18"/>
      <c r="J1570" s="18"/>
      <c r="K1570" s="18"/>
      <c r="L1570" s="18"/>
      <c r="M1570" s="18"/>
      <c r="N1570" s="18"/>
      <c r="O1570" s="18"/>
      <c r="P1570" s="18"/>
      <c r="Q1570" s="18"/>
    </row>
    <row r="1571" spans="6:17">
      <c r="F1571" s="18"/>
      <c r="G1571" s="18"/>
      <c r="H1571" s="18"/>
      <c r="I1571" s="18"/>
      <c r="J1571" s="18"/>
      <c r="K1571" s="18"/>
      <c r="L1571" s="18"/>
      <c r="M1571" s="18"/>
      <c r="N1571" s="18"/>
      <c r="O1571" s="18"/>
      <c r="P1571" s="18"/>
      <c r="Q1571" s="18"/>
    </row>
    <row r="1572" spans="6:17">
      <c r="F1572" s="18"/>
      <c r="G1572" s="18"/>
      <c r="H1572" s="18"/>
      <c r="I1572" s="18"/>
      <c r="J1572" s="18"/>
      <c r="K1572" s="18"/>
      <c r="L1572" s="18"/>
      <c r="M1572" s="18"/>
      <c r="N1572" s="18"/>
      <c r="O1572" s="18"/>
      <c r="P1572" s="18"/>
      <c r="Q1572" s="18"/>
    </row>
    <row r="1573" spans="6:17">
      <c r="F1573" s="18"/>
      <c r="G1573" s="18"/>
      <c r="H1573" s="18"/>
      <c r="I1573" s="18"/>
      <c r="J1573" s="18"/>
      <c r="K1573" s="18"/>
      <c r="L1573" s="18"/>
      <c r="M1573" s="18"/>
      <c r="N1573" s="18"/>
      <c r="O1573" s="18"/>
      <c r="P1573" s="18"/>
      <c r="Q1573" s="18"/>
    </row>
    <row r="1574" spans="6:17">
      <c r="F1574" s="18"/>
      <c r="G1574" s="18"/>
      <c r="H1574" s="18"/>
      <c r="I1574" s="18"/>
      <c r="J1574" s="18"/>
      <c r="K1574" s="18"/>
      <c r="L1574" s="18"/>
      <c r="M1574" s="18"/>
      <c r="N1574" s="18"/>
      <c r="O1574" s="18"/>
      <c r="P1574" s="18"/>
      <c r="Q1574" s="18"/>
    </row>
    <row r="1575" spans="6:17">
      <c r="F1575" s="18"/>
      <c r="G1575" s="18"/>
      <c r="H1575" s="18"/>
      <c r="I1575" s="18"/>
      <c r="J1575" s="18"/>
      <c r="K1575" s="18"/>
      <c r="L1575" s="18"/>
      <c r="M1575" s="18"/>
      <c r="N1575" s="18"/>
      <c r="O1575" s="18"/>
      <c r="P1575" s="18"/>
      <c r="Q1575" s="18"/>
    </row>
    <row r="1576" spans="6:17">
      <c r="F1576" s="18"/>
      <c r="G1576" s="18"/>
      <c r="H1576" s="18"/>
      <c r="I1576" s="18"/>
      <c r="J1576" s="18"/>
      <c r="K1576" s="18"/>
      <c r="L1576" s="18"/>
      <c r="M1576" s="18"/>
      <c r="N1576" s="18"/>
      <c r="O1576" s="18"/>
      <c r="P1576" s="18"/>
      <c r="Q1576" s="18"/>
    </row>
    <row r="1577" spans="6:17">
      <c r="F1577" s="18"/>
      <c r="G1577" s="18"/>
      <c r="H1577" s="18"/>
      <c r="I1577" s="18"/>
      <c r="J1577" s="18"/>
      <c r="K1577" s="18"/>
      <c r="L1577" s="18"/>
      <c r="M1577" s="18"/>
      <c r="N1577" s="18"/>
      <c r="O1577" s="18"/>
      <c r="P1577" s="18"/>
      <c r="Q1577" s="18"/>
    </row>
    <row r="1578" spans="6:17">
      <c r="F1578" s="18"/>
      <c r="G1578" s="18"/>
      <c r="H1578" s="18"/>
      <c r="I1578" s="18"/>
      <c r="J1578" s="18"/>
      <c r="K1578" s="18"/>
      <c r="L1578" s="18"/>
      <c r="M1578" s="18"/>
      <c r="N1578" s="18"/>
      <c r="O1578" s="18"/>
      <c r="P1578" s="18"/>
      <c r="Q1578" s="18"/>
    </row>
    <row r="1579" spans="6:17">
      <c r="F1579" s="18"/>
      <c r="G1579" s="18"/>
      <c r="H1579" s="18"/>
      <c r="I1579" s="18"/>
      <c r="J1579" s="18"/>
      <c r="K1579" s="18"/>
      <c r="L1579" s="18"/>
      <c r="M1579" s="18"/>
      <c r="N1579" s="18"/>
      <c r="O1579" s="18"/>
      <c r="P1579" s="18"/>
      <c r="Q1579" s="18"/>
    </row>
    <row r="1580" spans="6:17">
      <c r="F1580" s="18"/>
      <c r="G1580" s="18"/>
      <c r="H1580" s="18"/>
      <c r="I1580" s="18"/>
      <c r="J1580" s="18"/>
      <c r="K1580" s="18"/>
      <c r="L1580" s="18"/>
      <c r="M1580" s="18"/>
      <c r="N1580" s="18"/>
      <c r="O1580" s="18"/>
      <c r="P1580" s="18"/>
      <c r="Q1580" s="18"/>
    </row>
    <row r="1581" spans="6:17">
      <c r="F1581" s="18"/>
      <c r="G1581" s="18"/>
      <c r="H1581" s="18"/>
      <c r="I1581" s="18"/>
      <c r="J1581" s="18"/>
      <c r="K1581" s="18"/>
      <c r="L1581" s="18"/>
      <c r="M1581" s="18"/>
      <c r="N1581" s="18"/>
      <c r="O1581" s="18"/>
      <c r="P1581" s="18"/>
      <c r="Q1581" s="18"/>
    </row>
    <row r="1582" spans="6:17">
      <c r="F1582" s="18"/>
      <c r="G1582" s="18"/>
      <c r="H1582" s="18"/>
      <c r="I1582" s="18"/>
      <c r="J1582" s="18"/>
      <c r="K1582" s="18"/>
      <c r="L1582" s="18"/>
      <c r="M1582" s="18"/>
      <c r="N1582" s="18"/>
      <c r="O1582" s="18"/>
      <c r="P1582" s="18"/>
      <c r="Q1582" s="18"/>
    </row>
    <row r="1583" spans="6:17">
      <c r="F1583" s="18"/>
      <c r="G1583" s="18"/>
      <c r="H1583" s="18"/>
      <c r="I1583" s="18"/>
      <c r="J1583" s="18"/>
      <c r="K1583" s="18"/>
      <c r="L1583" s="18"/>
      <c r="M1583" s="18"/>
      <c r="N1583" s="18"/>
      <c r="O1583" s="18"/>
      <c r="P1583" s="18"/>
      <c r="Q1583" s="18"/>
    </row>
    <row r="1584" spans="6:17">
      <c r="F1584" s="18"/>
      <c r="G1584" s="18"/>
      <c r="H1584" s="18"/>
      <c r="I1584" s="18"/>
      <c r="J1584" s="18"/>
      <c r="K1584" s="18"/>
      <c r="L1584" s="18"/>
      <c r="M1584" s="18"/>
      <c r="N1584" s="18"/>
      <c r="O1584" s="18"/>
      <c r="P1584" s="18"/>
      <c r="Q1584" s="18"/>
    </row>
    <row r="1585" spans="6:17">
      <c r="F1585" s="18"/>
      <c r="G1585" s="18"/>
      <c r="H1585" s="18"/>
      <c r="I1585" s="18"/>
      <c r="J1585" s="18"/>
      <c r="K1585" s="18"/>
      <c r="L1585" s="18"/>
      <c r="M1585" s="18"/>
      <c r="N1585" s="18"/>
      <c r="O1585" s="18"/>
      <c r="P1585" s="18"/>
      <c r="Q1585" s="18"/>
    </row>
    <row r="1586" spans="6:17">
      <c r="F1586" s="18"/>
      <c r="G1586" s="18"/>
      <c r="H1586" s="18"/>
      <c r="I1586" s="18"/>
      <c r="J1586" s="18"/>
      <c r="K1586" s="18"/>
      <c r="L1586" s="18"/>
      <c r="M1586" s="18"/>
      <c r="N1586" s="18"/>
      <c r="O1586" s="18"/>
      <c r="P1586" s="18"/>
      <c r="Q1586" s="18"/>
    </row>
    <row r="1587" spans="6:17">
      <c r="F1587" s="18"/>
      <c r="G1587" s="18"/>
      <c r="H1587" s="18"/>
      <c r="I1587" s="18"/>
      <c r="J1587" s="18"/>
      <c r="K1587" s="18"/>
      <c r="L1587" s="18"/>
      <c r="M1587" s="18"/>
      <c r="N1587" s="18"/>
      <c r="O1587" s="18"/>
      <c r="P1587" s="18"/>
      <c r="Q1587" s="18"/>
    </row>
    <row r="1588" spans="6:17">
      <c r="F1588" s="18"/>
      <c r="G1588" s="18"/>
      <c r="H1588" s="18"/>
      <c r="I1588" s="18"/>
      <c r="J1588" s="18"/>
      <c r="K1588" s="18"/>
      <c r="L1588" s="18"/>
      <c r="M1588" s="18"/>
      <c r="N1588" s="18"/>
      <c r="O1588" s="18"/>
      <c r="P1588" s="18"/>
      <c r="Q1588" s="18"/>
    </row>
    <row r="1589" spans="6:17">
      <c r="F1589" s="18"/>
      <c r="G1589" s="18"/>
      <c r="H1589" s="18"/>
      <c r="I1589" s="18"/>
      <c r="J1589" s="18"/>
      <c r="K1589" s="18"/>
      <c r="L1589" s="18"/>
      <c r="M1589" s="18"/>
      <c r="N1589" s="18"/>
      <c r="O1589" s="18"/>
      <c r="P1589" s="18"/>
      <c r="Q1589" s="18"/>
    </row>
    <row r="1590" spans="6:17">
      <c r="F1590" s="18"/>
      <c r="G1590" s="18"/>
      <c r="H1590" s="18"/>
      <c r="I1590" s="18"/>
      <c r="J1590" s="18"/>
      <c r="K1590" s="18"/>
      <c r="L1590" s="18"/>
      <c r="M1590" s="18"/>
      <c r="N1590" s="18"/>
      <c r="O1590" s="18"/>
      <c r="P1590" s="18"/>
      <c r="Q1590" s="18"/>
    </row>
    <row r="1591" spans="6:17">
      <c r="F1591" s="18"/>
      <c r="G1591" s="18"/>
      <c r="H1591" s="18"/>
      <c r="I1591" s="18"/>
      <c r="J1591" s="18"/>
      <c r="K1591" s="18"/>
      <c r="L1591" s="18"/>
      <c r="M1591" s="18"/>
      <c r="N1591" s="18"/>
      <c r="O1591" s="18"/>
      <c r="P1591" s="18"/>
      <c r="Q1591" s="18"/>
    </row>
    <row r="1592" spans="6:17">
      <c r="F1592" s="18"/>
      <c r="G1592" s="18"/>
      <c r="H1592" s="18"/>
      <c r="I1592" s="18"/>
      <c r="J1592" s="18"/>
      <c r="K1592" s="18"/>
      <c r="L1592" s="18"/>
      <c r="M1592" s="18"/>
      <c r="N1592" s="18"/>
      <c r="O1592" s="18"/>
      <c r="P1592" s="18"/>
      <c r="Q1592" s="18"/>
    </row>
    <row r="1593" spans="6:17">
      <c r="F1593" s="18"/>
      <c r="G1593" s="18"/>
      <c r="H1593" s="18"/>
      <c r="I1593" s="18"/>
      <c r="J1593" s="18"/>
      <c r="K1593" s="18"/>
      <c r="L1593" s="18"/>
      <c r="M1593" s="18"/>
      <c r="N1593" s="18"/>
      <c r="O1593" s="18"/>
      <c r="P1593" s="18"/>
      <c r="Q1593" s="18"/>
    </row>
    <row r="1594" spans="6:17">
      <c r="F1594" s="18"/>
      <c r="G1594" s="18"/>
      <c r="H1594" s="18"/>
      <c r="I1594" s="18"/>
      <c r="J1594" s="18"/>
      <c r="K1594" s="18"/>
      <c r="L1594" s="18"/>
      <c r="M1594" s="18"/>
      <c r="N1594" s="18"/>
      <c r="O1594" s="18"/>
      <c r="P1594" s="18"/>
      <c r="Q1594" s="18"/>
    </row>
    <row r="1595" spans="6:17">
      <c r="F1595" s="18"/>
      <c r="G1595" s="18"/>
      <c r="H1595" s="18"/>
      <c r="I1595" s="18"/>
      <c r="J1595" s="18"/>
      <c r="K1595" s="18"/>
      <c r="L1595" s="18"/>
      <c r="M1595" s="18"/>
      <c r="N1595" s="18"/>
      <c r="O1595" s="18"/>
      <c r="P1595" s="18"/>
      <c r="Q1595" s="18"/>
    </row>
    <row r="1596" spans="6:17">
      <c r="F1596" s="18"/>
      <c r="G1596" s="18"/>
      <c r="H1596" s="18"/>
      <c r="I1596" s="18"/>
      <c r="J1596" s="18"/>
      <c r="K1596" s="18"/>
      <c r="L1596" s="18"/>
      <c r="M1596" s="18"/>
      <c r="N1596" s="18"/>
      <c r="O1596" s="18"/>
      <c r="P1596" s="18"/>
      <c r="Q1596" s="18"/>
    </row>
    <row r="1597" spans="6:17">
      <c r="F1597" s="18"/>
      <c r="G1597" s="18"/>
      <c r="H1597" s="18"/>
      <c r="I1597" s="18"/>
      <c r="J1597" s="18"/>
      <c r="K1597" s="18"/>
      <c r="L1597" s="18"/>
      <c r="M1597" s="18"/>
      <c r="N1597" s="18"/>
      <c r="O1597" s="18"/>
      <c r="P1597" s="18"/>
      <c r="Q1597" s="18"/>
    </row>
    <row r="1598" spans="6:17">
      <c r="F1598" s="18"/>
      <c r="G1598" s="18"/>
      <c r="H1598" s="18"/>
      <c r="I1598" s="18"/>
      <c r="J1598" s="18"/>
      <c r="K1598" s="18"/>
      <c r="L1598" s="18"/>
      <c r="M1598" s="18"/>
      <c r="N1598" s="18"/>
      <c r="O1598" s="18"/>
      <c r="P1598" s="18"/>
      <c r="Q1598" s="18"/>
    </row>
    <row r="1599" spans="6:17">
      <c r="F1599" s="18"/>
      <c r="G1599" s="18"/>
      <c r="H1599" s="18"/>
      <c r="I1599" s="18"/>
      <c r="J1599" s="18"/>
      <c r="K1599" s="18"/>
      <c r="L1599" s="18"/>
      <c r="M1599" s="18"/>
      <c r="N1599" s="18"/>
      <c r="O1599" s="18"/>
      <c r="P1599" s="18"/>
      <c r="Q1599" s="18"/>
    </row>
    <row r="1600" spans="6:17">
      <c r="F1600" s="18"/>
      <c r="G1600" s="18"/>
      <c r="H1600" s="18"/>
      <c r="I1600" s="18"/>
      <c r="J1600" s="18"/>
      <c r="K1600" s="18"/>
      <c r="L1600" s="18"/>
      <c r="M1600" s="18"/>
      <c r="N1600" s="18"/>
      <c r="O1600" s="18"/>
      <c r="P1600" s="18"/>
      <c r="Q1600" s="18"/>
    </row>
    <row r="1601" spans="6:17">
      <c r="F1601" s="18"/>
      <c r="G1601" s="18"/>
      <c r="H1601" s="18"/>
      <c r="I1601" s="18"/>
      <c r="J1601" s="18"/>
      <c r="K1601" s="18"/>
      <c r="L1601" s="18"/>
      <c r="M1601" s="18"/>
      <c r="N1601" s="18"/>
      <c r="O1601" s="18"/>
      <c r="P1601" s="18"/>
      <c r="Q1601" s="18"/>
    </row>
    <row r="1602" spans="6:17">
      <c r="F1602" s="18"/>
      <c r="G1602" s="18"/>
      <c r="H1602" s="18"/>
      <c r="I1602" s="18"/>
      <c r="J1602" s="18"/>
      <c r="K1602" s="18"/>
      <c r="L1602" s="18"/>
      <c r="M1602" s="18"/>
      <c r="N1602" s="18"/>
      <c r="O1602" s="18"/>
      <c r="P1602" s="18"/>
      <c r="Q1602" s="18"/>
    </row>
    <row r="1603" spans="6:17">
      <c r="F1603" s="18"/>
      <c r="G1603" s="18"/>
      <c r="H1603" s="18"/>
      <c r="I1603" s="18"/>
      <c r="J1603" s="18"/>
      <c r="K1603" s="18"/>
      <c r="L1603" s="18"/>
      <c r="M1603" s="18"/>
      <c r="N1603" s="18"/>
      <c r="O1603" s="18"/>
      <c r="P1603" s="18"/>
      <c r="Q1603" s="18"/>
    </row>
    <row r="1604" spans="6:17">
      <c r="F1604" s="18"/>
      <c r="G1604" s="18"/>
      <c r="H1604" s="18"/>
      <c r="I1604" s="18"/>
      <c r="J1604" s="18"/>
      <c r="K1604" s="18"/>
      <c r="L1604" s="18"/>
      <c r="M1604" s="18"/>
      <c r="N1604" s="18"/>
      <c r="O1604" s="18"/>
      <c r="P1604" s="18"/>
      <c r="Q1604" s="18"/>
    </row>
    <row r="1605" spans="6:17">
      <c r="F1605" s="18"/>
      <c r="G1605" s="18"/>
      <c r="H1605" s="18"/>
      <c r="I1605" s="18"/>
      <c r="J1605" s="18"/>
      <c r="K1605" s="18"/>
      <c r="L1605" s="18"/>
      <c r="M1605" s="18"/>
      <c r="N1605" s="18"/>
      <c r="O1605" s="18"/>
      <c r="P1605" s="18"/>
      <c r="Q1605" s="18"/>
    </row>
    <row r="1606" spans="6:17">
      <c r="F1606" s="18"/>
      <c r="G1606" s="18"/>
      <c r="H1606" s="18"/>
      <c r="I1606" s="18"/>
      <c r="J1606" s="18"/>
      <c r="K1606" s="18"/>
      <c r="L1606" s="18"/>
      <c r="M1606" s="18"/>
      <c r="N1606" s="18"/>
      <c r="O1606" s="18"/>
      <c r="P1606" s="18"/>
      <c r="Q1606" s="18"/>
    </row>
    <row r="1607" spans="6:17">
      <c r="F1607" s="18"/>
      <c r="G1607" s="18"/>
      <c r="H1607" s="18"/>
      <c r="I1607" s="18"/>
      <c r="J1607" s="18"/>
      <c r="K1607" s="18"/>
      <c r="L1607" s="18"/>
      <c r="M1607" s="18"/>
      <c r="N1607" s="18"/>
      <c r="O1607" s="18"/>
      <c r="P1607" s="18"/>
      <c r="Q1607" s="18"/>
    </row>
    <row r="1608" spans="6:17">
      <c r="F1608" s="18"/>
      <c r="G1608" s="18"/>
      <c r="H1608" s="18"/>
      <c r="I1608" s="18"/>
      <c r="J1608" s="18"/>
      <c r="K1608" s="18"/>
      <c r="L1608" s="18"/>
      <c r="M1608" s="18"/>
      <c r="N1608" s="18"/>
      <c r="O1608" s="18"/>
      <c r="P1608" s="18"/>
      <c r="Q1608" s="18"/>
    </row>
    <row r="1609" spans="6:17">
      <c r="F1609" s="18"/>
      <c r="G1609" s="18"/>
      <c r="H1609" s="18"/>
      <c r="I1609" s="18"/>
      <c r="J1609" s="18"/>
      <c r="K1609" s="18"/>
      <c r="L1609" s="18"/>
      <c r="M1609" s="18"/>
      <c r="N1609" s="18"/>
      <c r="O1609" s="18"/>
      <c r="P1609" s="18"/>
      <c r="Q1609" s="18"/>
    </row>
    <row r="1610" spans="6:17">
      <c r="F1610" s="18"/>
      <c r="G1610" s="18"/>
      <c r="H1610" s="18"/>
      <c r="I1610" s="18"/>
      <c r="J1610" s="18"/>
      <c r="K1610" s="18"/>
      <c r="L1610" s="18"/>
      <c r="M1610" s="18"/>
      <c r="N1610" s="18"/>
      <c r="O1610" s="18"/>
      <c r="P1610" s="18"/>
      <c r="Q1610" s="18"/>
    </row>
    <row r="1611" spans="6:17">
      <c r="F1611" s="18"/>
      <c r="G1611" s="18"/>
      <c r="H1611" s="18"/>
      <c r="I1611" s="18"/>
      <c r="J1611" s="18"/>
      <c r="K1611" s="18"/>
      <c r="L1611" s="18"/>
      <c r="M1611" s="18"/>
      <c r="N1611" s="18"/>
      <c r="O1611" s="18"/>
      <c r="P1611" s="18"/>
      <c r="Q1611" s="18"/>
    </row>
    <row r="1612" spans="6:17">
      <c r="F1612" s="18"/>
      <c r="G1612" s="18"/>
      <c r="H1612" s="18"/>
      <c r="I1612" s="18"/>
      <c r="J1612" s="18"/>
      <c r="K1612" s="18"/>
      <c r="L1612" s="18"/>
      <c r="M1612" s="18"/>
      <c r="N1612" s="18"/>
      <c r="O1612" s="18"/>
      <c r="P1612" s="18"/>
      <c r="Q1612" s="18"/>
    </row>
    <row r="1613" spans="6:17">
      <c r="F1613" s="18"/>
      <c r="G1613" s="18"/>
      <c r="H1613" s="18"/>
      <c r="I1613" s="18"/>
      <c r="J1613" s="18"/>
      <c r="K1613" s="18"/>
      <c r="L1613" s="18"/>
      <c r="M1613" s="18"/>
      <c r="N1613" s="18"/>
      <c r="O1613" s="18"/>
      <c r="P1613" s="18"/>
      <c r="Q1613" s="18"/>
    </row>
    <row r="1614" spans="6:17">
      <c r="F1614" s="18"/>
      <c r="G1614" s="18"/>
      <c r="H1614" s="18"/>
      <c r="I1614" s="18"/>
      <c r="J1614" s="18"/>
      <c r="K1614" s="18"/>
      <c r="L1614" s="18"/>
      <c r="M1614" s="18"/>
      <c r="N1614" s="18"/>
      <c r="O1614" s="18"/>
      <c r="P1614" s="18"/>
      <c r="Q1614" s="18"/>
    </row>
    <row r="1615" spans="6:17">
      <c r="F1615" s="18"/>
      <c r="G1615" s="18"/>
      <c r="H1615" s="18"/>
      <c r="I1615" s="18"/>
      <c r="J1615" s="18"/>
      <c r="K1615" s="18"/>
      <c r="L1615" s="18"/>
      <c r="M1615" s="18"/>
      <c r="N1615" s="18"/>
      <c r="O1615" s="18"/>
      <c r="P1615" s="18"/>
      <c r="Q1615" s="18"/>
    </row>
    <row r="1616" spans="6:17">
      <c r="F1616" s="18"/>
      <c r="G1616" s="18"/>
      <c r="H1616" s="18"/>
      <c r="I1616" s="18"/>
      <c r="J1616" s="18"/>
      <c r="K1616" s="18"/>
      <c r="L1616" s="18"/>
      <c r="M1616" s="18"/>
      <c r="N1616" s="18"/>
      <c r="O1616" s="18"/>
      <c r="P1616" s="18"/>
      <c r="Q1616" s="18"/>
    </row>
    <row r="1617" spans="6:17">
      <c r="F1617" s="18"/>
      <c r="G1617" s="18"/>
      <c r="H1617" s="18"/>
      <c r="I1617" s="18"/>
      <c r="J1617" s="18"/>
      <c r="K1617" s="18"/>
      <c r="L1617" s="18"/>
      <c r="M1617" s="18"/>
      <c r="N1617" s="18"/>
      <c r="O1617" s="18"/>
      <c r="P1617" s="18"/>
      <c r="Q1617" s="18"/>
    </row>
    <row r="1618" spans="6:17">
      <c r="F1618" s="18"/>
      <c r="G1618" s="18"/>
      <c r="H1618" s="18"/>
      <c r="I1618" s="18"/>
      <c r="J1618" s="18"/>
      <c r="K1618" s="18"/>
      <c r="L1618" s="18"/>
      <c r="M1618" s="18"/>
      <c r="N1618" s="18"/>
      <c r="O1618" s="18"/>
      <c r="P1618" s="18"/>
      <c r="Q1618" s="18"/>
    </row>
    <row r="1619" spans="6:17">
      <c r="F1619" s="18"/>
      <c r="G1619" s="18"/>
      <c r="H1619" s="18"/>
      <c r="I1619" s="18"/>
      <c r="J1619" s="18"/>
      <c r="K1619" s="18"/>
      <c r="L1619" s="18"/>
      <c r="M1619" s="18"/>
      <c r="N1619" s="18"/>
      <c r="O1619" s="18"/>
      <c r="P1619" s="18"/>
      <c r="Q1619" s="18"/>
    </row>
    <row r="1620" spans="6:17">
      <c r="F1620" s="18"/>
      <c r="G1620" s="18"/>
      <c r="H1620" s="18"/>
      <c r="I1620" s="18"/>
      <c r="J1620" s="18"/>
      <c r="K1620" s="18"/>
      <c r="L1620" s="18"/>
      <c r="M1620" s="18"/>
      <c r="N1620" s="18"/>
      <c r="O1620" s="18"/>
      <c r="P1620" s="18"/>
      <c r="Q1620" s="18"/>
    </row>
    <row r="1621" spans="6:17">
      <c r="F1621" s="18"/>
      <c r="G1621" s="18"/>
      <c r="H1621" s="18"/>
      <c r="I1621" s="18"/>
      <c r="J1621" s="18"/>
      <c r="K1621" s="18"/>
      <c r="L1621" s="18"/>
      <c r="M1621" s="18"/>
      <c r="N1621" s="18"/>
      <c r="O1621" s="18"/>
      <c r="P1621" s="18"/>
      <c r="Q1621" s="18"/>
    </row>
    <row r="1622" spans="6:17">
      <c r="F1622" s="18"/>
      <c r="G1622" s="18"/>
      <c r="H1622" s="18"/>
      <c r="I1622" s="18"/>
      <c r="J1622" s="18"/>
      <c r="K1622" s="18"/>
      <c r="L1622" s="18"/>
      <c r="M1622" s="18"/>
      <c r="N1622" s="18"/>
      <c r="O1622" s="18"/>
      <c r="P1622" s="18"/>
      <c r="Q1622" s="18"/>
    </row>
    <row r="1623" spans="6:17">
      <c r="F1623" s="18"/>
      <c r="G1623" s="18"/>
      <c r="H1623" s="18"/>
      <c r="I1623" s="18"/>
      <c r="J1623" s="18"/>
      <c r="K1623" s="18"/>
      <c r="L1623" s="18"/>
      <c r="M1623" s="18"/>
      <c r="N1623" s="18"/>
      <c r="O1623" s="18"/>
      <c r="P1623" s="18"/>
      <c r="Q1623" s="18"/>
    </row>
    <row r="1624" spans="6:17">
      <c r="F1624" s="18"/>
      <c r="G1624" s="18"/>
      <c r="H1624" s="18"/>
      <c r="I1624" s="18"/>
      <c r="J1624" s="18"/>
      <c r="K1624" s="18"/>
      <c r="L1624" s="18"/>
      <c r="M1624" s="18"/>
      <c r="N1624" s="18"/>
      <c r="O1624" s="18"/>
      <c r="P1624" s="18"/>
      <c r="Q1624" s="18"/>
    </row>
    <row r="1625" spans="6:17">
      <c r="F1625" s="18"/>
      <c r="G1625" s="18"/>
      <c r="H1625" s="18"/>
      <c r="I1625" s="18"/>
      <c r="J1625" s="18"/>
      <c r="K1625" s="18"/>
      <c r="L1625" s="18"/>
      <c r="M1625" s="18"/>
      <c r="N1625" s="18"/>
      <c r="O1625" s="18"/>
      <c r="P1625" s="18"/>
      <c r="Q1625" s="18"/>
    </row>
    <row r="1626" spans="6:17">
      <c r="F1626" s="18"/>
      <c r="G1626" s="18"/>
      <c r="H1626" s="18"/>
      <c r="I1626" s="18"/>
      <c r="J1626" s="18"/>
      <c r="K1626" s="18"/>
      <c r="L1626" s="18"/>
      <c r="M1626" s="18"/>
      <c r="N1626" s="18"/>
      <c r="O1626" s="18"/>
      <c r="P1626" s="18"/>
      <c r="Q1626" s="18"/>
    </row>
    <row r="1627" spans="6:17">
      <c r="F1627" s="18"/>
      <c r="G1627" s="18"/>
      <c r="H1627" s="18"/>
      <c r="I1627" s="18"/>
      <c r="J1627" s="18"/>
      <c r="K1627" s="18"/>
      <c r="L1627" s="18"/>
      <c r="M1627" s="18"/>
      <c r="N1627" s="18"/>
      <c r="O1627" s="18"/>
      <c r="P1627" s="18"/>
      <c r="Q1627" s="18"/>
    </row>
    <row r="1628" spans="6:17">
      <c r="F1628" s="18"/>
      <c r="G1628" s="18"/>
      <c r="H1628" s="18"/>
      <c r="I1628" s="18"/>
      <c r="J1628" s="18"/>
      <c r="K1628" s="18"/>
      <c r="L1628" s="18"/>
      <c r="M1628" s="18"/>
      <c r="N1628" s="18"/>
      <c r="O1628" s="18"/>
      <c r="P1628" s="18"/>
      <c r="Q1628" s="18"/>
    </row>
    <row r="1629" spans="6:17">
      <c r="F1629" s="18"/>
      <c r="G1629" s="18"/>
      <c r="H1629" s="18"/>
      <c r="I1629" s="18"/>
      <c r="J1629" s="18"/>
      <c r="K1629" s="18"/>
      <c r="L1629" s="18"/>
      <c r="M1629" s="18"/>
      <c r="N1629" s="18"/>
      <c r="O1629" s="18"/>
      <c r="P1629" s="18"/>
      <c r="Q1629" s="18"/>
    </row>
    <row r="1630" spans="6:17">
      <c r="F1630" s="18"/>
      <c r="G1630" s="18"/>
      <c r="H1630" s="18"/>
      <c r="I1630" s="18"/>
      <c r="J1630" s="18"/>
      <c r="K1630" s="18"/>
      <c r="L1630" s="18"/>
      <c r="M1630" s="18"/>
      <c r="N1630" s="18"/>
      <c r="O1630" s="18"/>
      <c r="P1630" s="18"/>
      <c r="Q1630" s="18"/>
    </row>
    <row r="1631" spans="6:17">
      <c r="F1631" s="18"/>
      <c r="G1631" s="18"/>
      <c r="H1631" s="18"/>
      <c r="I1631" s="18"/>
      <c r="J1631" s="18"/>
      <c r="K1631" s="18"/>
      <c r="L1631" s="18"/>
      <c r="M1631" s="18"/>
      <c r="N1631" s="18"/>
      <c r="O1631" s="18"/>
      <c r="P1631" s="18"/>
      <c r="Q1631" s="18"/>
    </row>
    <row r="1632" spans="6:17">
      <c r="F1632" s="18"/>
      <c r="G1632" s="18"/>
      <c r="H1632" s="18"/>
      <c r="I1632" s="18"/>
      <c r="J1632" s="18"/>
      <c r="K1632" s="18"/>
      <c r="L1632" s="18"/>
      <c r="M1632" s="18"/>
      <c r="N1632" s="18"/>
      <c r="O1632" s="18"/>
      <c r="P1632" s="18"/>
      <c r="Q1632" s="18"/>
    </row>
    <row r="1633" spans="6:17">
      <c r="F1633" s="18"/>
      <c r="G1633" s="18"/>
      <c r="H1633" s="18"/>
      <c r="I1633" s="18"/>
      <c r="J1633" s="18"/>
      <c r="K1633" s="18"/>
      <c r="L1633" s="18"/>
      <c r="M1633" s="18"/>
      <c r="N1633" s="18"/>
      <c r="O1633" s="18"/>
      <c r="P1633" s="18"/>
      <c r="Q1633" s="18"/>
    </row>
    <row r="1634" spans="6:17">
      <c r="F1634" s="18"/>
      <c r="G1634" s="18"/>
      <c r="H1634" s="18"/>
      <c r="I1634" s="18"/>
      <c r="J1634" s="18"/>
      <c r="K1634" s="18"/>
      <c r="L1634" s="18"/>
      <c r="M1634" s="18"/>
      <c r="N1634" s="18"/>
      <c r="O1634" s="18"/>
      <c r="P1634" s="18"/>
      <c r="Q1634" s="18"/>
    </row>
    <row r="1635" spans="6:17">
      <c r="F1635" s="18"/>
      <c r="G1635" s="18"/>
      <c r="H1635" s="18"/>
      <c r="I1635" s="18"/>
      <c r="J1635" s="18"/>
      <c r="K1635" s="18"/>
      <c r="L1635" s="18"/>
      <c r="M1635" s="18"/>
      <c r="N1635" s="18"/>
      <c r="O1635" s="18"/>
      <c r="P1635" s="18"/>
      <c r="Q1635" s="18"/>
    </row>
    <row r="1636" spans="6:17">
      <c r="F1636" s="18"/>
      <c r="G1636" s="18"/>
      <c r="H1636" s="18"/>
      <c r="I1636" s="18"/>
      <c r="J1636" s="18"/>
      <c r="K1636" s="18"/>
      <c r="L1636" s="18"/>
      <c r="M1636" s="18"/>
      <c r="N1636" s="18"/>
      <c r="O1636" s="18"/>
      <c r="P1636" s="18"/>
      <c r="Q1636" s="18"/>
    </row>
    <row r="1637" spans="6:17">
      <c r="F1637" s="18"/>
      <c r="G1637" s="18"/>
      <c r="H1637" s="18"/>
      <c r="I1637" s="18"/>
      <c r="J1637" s="18"/>
      <c r="K1637" s="18"/>
      <c r="L1637" s="18"/>
      <c r="M1637" s="18"/>
      <c r="N1637" s="18"/>
      <c r="O1637" s="18"/>
      <c r="P1637" s="18"/>
      <c r="Q1637" s="18"/>
    </row>
    <row r="1638" spans="6:17">
      <c r="F1638" s="18"/>
      <c r="G1638" s="18"/>
      <c r="H1638" s="18"/>
      <c r="I1638" s="18"/>
      <c r="J1638" s="18"/>
      <c r="K1638" s="18"/>
      <c r="L1638" s="18"/>
      <c r="M1638" s="18"/>
      <c r="N1638" s="18"/>
      <c r="O1638" s="18"/>
      <c r="P1638" s="18"/>
      <c r="Q1638" s="18"/>
    </row>
    <row r="1639" spans="6:17">
      <c r="F1639" s="18"/>
      <c r="G1639" s="18"/>
      <c r="H1639" s="18"/>
      <c r="I1639" s="18"/>
      <c r="J1639" s="18"/>
      <c r="K1639" s="18"/>
      <c r="L1639" s="18"/>
      <c r="M1639" s="18"/>
      <c r="N1639" s="18"/>
      <c r="O1639" s="18"/>
      <c r="P1639" s="18"/>
      <c r="Q1639" s="18"/>
    </row>
    <row r="1640" spans="6:17">
      <c r="F1640" s="18"/>
      <c r="G1640" s="18"/>
      <c r="H1640" s="18"/>
      <c r="I1640" s="18"/>
      <c r="J1640" s="18"/>
      <c r="K1640" s="18"/>
      <c r="L1640" s="18"/>
      <c r="M1640" s="18"/>
      <c r="N1640" s="18"/>
      <c r="O1640" s="18"/>
      <c r="P1640" s="18"/>
      <c r="Q1640" s="18"/>
    </row>
    <row r="1641" spans="6:17">
      <c r="F1641" s="18"/>
      <c r="G1641" s="18"/>
      <c r="H1641" s="18"/>
      <c r="I1641" s="18"/>
      <c r="J1641" s="18"/>
      <c r="K1641" s="18"/>
      <c r="L1641" s="18"/>
      <c r="M1641" s="18"/>
      <c r="N1641" s="18"/>
      <c r="O1641" s="18"/>
      <c r="P1641" s="18"/>
      <c r="Q1641" s="18"/>
    </row>
    <row r="1642" spans="6:17">
      <c r="F1642" s="18"/>
      <c r="G1642" s="18"/>
      <c r="H1642" s="18"/>
      <c r="I1642" s="18"/>
      <c r="J1642" s="18"/>
      <c r="K1642" s="18"/>
      <c r="L1642" s="18"/>
      <c r="M1642" s="18"/>
      <c r="N1642" s="18"/>
      <c r="O1642" s="18"/>
      <c r="P1642" s="18"/>
      <c r="Q1642" s="18"/>
    </row>
    <row r="1643" spans="6:17">
      <c r="F1643" s="18"/>
      <c r="G1643" s="18"/>
      <c r="H1643" s="18"/>
      <c r="I1643" s="18"/>
      <c r="J1643" s="18"/>
      <c r="K1643" s="18"/>
      <c r="L1643" s="18"/>
      <c r="M1643" s="18"/>
      <c r="N1643" s="18"/>
      <c r="O1643" s="18"/>
      <c r="P1643" s="18"/>
      <c r="Q1643" s="18"/>
    </row>
    <row r="1644" spans="6:17">
      <c r="F1644" s="18"/>
      <c r="G1644" s="18"/>
      <c r="H1644" s="18"/>
      <c r="I1644" s="18"/>
      <c r="J1644" s="18"/>
      <c r="K1644" s="18"/>
      <c r="L1644" s="18"/>
      <c r="M1644" s="18"/>
      <c r="N1644" s="18"/>
      <c r="O1644" s="18"/>
      <c r="P1644" s="18"/>
      <c r="Q1644" s="18"/>
    </row>
    <row r="1645" spans="6:17">
      <c r="F1645" s="18"/>
      <c r="G1645" s="18"/>
      <c r="H1645" s="18"/>
      <c r="I1645" s="18"/>
      <c r="J1645" s="18"/>
      <c r="K1645" s="18"/>
      <c r="L1645" s="18"/>
      <c r="M1645" s="18"/>
      <c r="N1645" s="18"/>
      <c r="O1645" s="18"/>
      <c r="P1645" s="18"/>
      <c r="Q1645" s="18"/>
    </row>
    <row r="1646" spans="6:17">
      <c r="F1646" s="18"/>
      <c r="G1646" s="18"/>
      <c r="H1646" s="18"/>
      <c r="I1646" s="18"/>
      <c r="J1646" s="18"/>
      <c r="K1646" s="18"/>
      <c r="L1646" s="18"/>
      <c r="M1646" s="18"/>
      <c r="N1646" s="18"/>
      <c r="O1646" s="18"/>
      <c r="P1646" s="18"/>
      <c r="Q1646" s="18"/>
    </row>
    <row r="1647" spans="6:17">
      <c r="F1647" s="18"/>
      <c r="G1647" s="18"/>
      <c r="H1647" s="18"/>
      <c r="I1647" s="18"/>
      <c r="J1647" s="18"/>
      <c r="K1647" s="18"/>
      <c r="L1647" s="18"/>
      <c r="M1647" s="18"/>
      <c r="N1647" s="18"/>
      <c r="O1647" s="18"/>
      <c r="P1647" s="18"/>
      <c r="Q1647" s="18"/>
    </row>
    <row r="1648" spans="6:17">
      <c r="F1648" s="18"/>
      <c r="G1648" s="18"/>
      <c r="H1648" s="18"/>
      <c r="I1648" s="18"/>
      <c r="J1648" s="18"/>
      <c r="K1648" s="18"/>
      <c r="L1648" s="18"/>
      <c r="M1648" s="18"/>
      <c r="N1648" s="18"/>
      <c r="O1648" s="18"/>
      <c r="P1648" s="18"/>
      <c r="Q1648" s="18"/>
    </row>
    <row r="1649" spans="6:17">
      <c r="F1649" s="18"/>
      <c r="G1649" s="18"/>
      <c r="H1649" s="18"/>
      <c r="I1649" s="18"/>
      <c r="J1649" s="18"/>
      <c r="K1649" s="18"/>
      <c r="L1649" s="18"/>
      <c r="M1649" s="18"/>
      <c r="N1649" s="18"/>
      <c r="O1649" s="18"/>
      <c r="P1649" s="18"/>
      <c r="Q1649" s="18"/>
    </row>
    <row r="1650" spans="6:17">
      <c r="F1650" s="18"/>
      <c r="G1650" s="18"/>
      <c r="H1650" s="18"/>
      <c r="I1650" s="18"/>
      <c r="J1650" s="18"/>
      <c r="K1650" s="18"/>
      <c r="L1650" s="18"/>
      <c r="M1650" s="18"/>
      <c r="N1650" s="18"/>
      <c r="O1650" s="18"/>
      <c r="P1650" s="18"/>
      <c r="Q1650" s="18"/>
    </row>
    <row r="1651" spans="6:17">
      <c r="F1651" s="18"/>
      <c r="G1651" s="18"/>
      <c r="H1651" s="18"/>
      <c r="I1651" s="18"/>
      <c r="J1651" s="18"/>
      <c r="K1651" s="18"/>
      <c r="L1651" s="18"/>
      <c r="M1651" s="18"/>
      <c r="N1651" s="18"/>
      <c r="O1651" s="18"/>
      <c r="P1651" s="18"/>
      <c r="Q1651" s="18"/>
    </row>
    <row r="1652" spans="6:17">
      <c r="F1652" s="18"/>
      <c r="G1652" s="18"/>
      <c r="H1652" s="18"/>
      <c r="I1652" s="18"/>
      <c r="J1652" s="18"/>
      <c r="K1652" s="18"/>
      <c r="L1652" s="18"/>
      <c r="M1652" s="18"/>
      <c r="N1652" s="18"/>
      <c r="O1652" s="18"/>
      <c r="P1652" s="18"/>
      <c r="Q1652" s="18"/>
    </row>
    <row r="1653" spans="6:17">
      <c r="F1653" s="18"/>
      <c r="G1653" s="18"/>
      <c r="H1653" s="18"/>
      <c r="I1653" s="18"/>
      <c r="J1653" s="18"/>
      <c r="K1653" s="18"/>
      <c r="L1653" s="18"/>
      <c r="M1653" s="18"/>
      <c r="N1653" s="18"/>
      <c r="O1653" s="18"/>
      <c r="P1653" s="18"/>
      <c r="Q1653" s="18"/>
    </row>
    <row r="1654" spans="6:17">
      <c r="F1654" s="18"/>
      <c r="G1654" s="18"/>
      <c r="H1654" s="18"/>
      <c r="I1654" s="18"/>
      <c r="J1654" s="18"/>
      <c r="K1654" s="18"/>
      <c r="L1654" s="18"/>
      <c r="M1654" s="18"/>
      <c r="N1654" s="18"/>
      <c r="O1654" s="18"/>
      <c r="P1654" s="18"/>
      <c r="Q1654" s="18"/>
    </row>
    <row r="1655" spans="6:17">
      <c r="F1655" s="18"/>
      <c r="G1655" s="18"/>
      <c r="H1655" s="18"/>
      <c r="I1655" s="18"/>
      <c r="J1655" s="18"/>
      <c r="K1655" s="18"/>
      <c r="L1655" s="18"/>
      <c r="M1655" s="18"/>
      <c r="N1655" s="18"/>
      <c r="O1655" s="18"/>
      <c r="P1655" s="18"/>
      <c r="Q1655" s="18"/>
    </row>
    <row r="1656" spans="6:17">
      <c r="F1656" s="18"/>
      <c r="G1656" s="18"/>
      <c r="H1656" s="18"/>
      <c r="I1656" s="18"/>
      <c r="J1656" s="18"/>
      <c r="K1656" s="18"/>
      <c r="L1656" s="18"/>
      <c r="M1656" s="18"/>
      <c r="N1656" s="18"/>
      <c r="O1656" s="18"/>
      <c r="P1656" s="18"/>
      <c r="Q1656" s="18"/>
    </row>
    <row r="1657" spans="6:17">
      <c r="F1657" s="18"/>
      <c r="G1657" s="18"/>
      <c r="H1657" s="18"/>
      <c r="I1657" s="18"/>
      <c r="J1657" s="18"/>
      <c r="K1657" s="18"/>
      <c r="L1657" s="18"/>
      <c r="M1657" s="18"/>
      <c r="N1657" s="18"/>
      <c r="O1657" s="18"/>
      <c r="P1657" s="18"/>
      <c r="Q1657" s="18"/>
    </row>
    <row r="1658" spans="6:17">
      <c r="F1658" s="18"/>
      <c r="G1658" s="18"/>
      <c r="H1658" s="18"/>
      <c r="I1658" s="18"/>
      <c r="J1658" s="18"/>
      <c r="K1658" s="18"/>
      <c r="L1658" s="18"/>
      <c r="M1658" s="18"/>
      <c r="N1658" s="18"/>
      <c r="O1658" s="18"/>
      <c r="P1658" s="18"/>
      <c r="Q1658" s="18"/>
    </row>
    <row r="1659" spans="6:17">
      <c r="F1659" s="18"/>
      <c r="G1659" s="18"/>
      <c r="H1659" s="18"/>
      <c r="I1659" s="18"/>
      <c r="J1659" s="18"/>
      <c r="K1659" s="18"/>
      <c r="L1659" s="18"/>
      <c r="M1659" s="18"/>
      <c r="N1659" s="18"/>
      <c r="O1659" s="18"/>
      <c r="P1659" s="18"/>
      <c r="Q1659" s="18"/>
    </row>
    <row r="1660" spans="6:17">
      <c r="F1660" s="18"/>
      <c r="G1660" s="18"/>
      <c r="H1660" s="18"/>
      <c r="I1660" s="18"/>
      <c r="J1660" s="18"/>
      <c r="K1660" s="18"/>
      <c r="L1660" s="18"/>
      <c r="M1660" s="18"/>
      <c r="N1660" s="18"/>
      <c r="O1660" s="18"/>
      <c r="P1660" s="18"/>
      <c r="Q1660" s="18"/>
    </row>
    <row r="1661" spans="6:17">
      <c r="F1661" s="18"/>
      <c r="G1661" s="18"/>
      <c r="H1661" s="18"/>
      <c r="I1661" s="18"/>
      <c r="J1661" s="18"/>
      <c r="K1661" s="18"/>
      <c r="L1661" s="18"/>
      <c r="M1661" s="18"/>
      <c r="N1661" s="18"/>
      <c r="O1661" s="18"/>
      <c r="P1661" s="18"/>
      <c r="Q1661" s="18"/>
    </row>
    <row r="1662" spans="6:17">
      <c r="F1662" s="18"/>
      <c r="G1662" s="18"/>
      <c r="H1662" s="18"/>
      <c r="I1662" s="18"/>
      <c r="J1662" s="18"/>
      <c r="K1662" s="18"/>
      <c r="L1662" s="18"/>
      <c r="M1662" s="18"/>
      <c r="N1662" s="18"/>
      <c r="O1662" s="18"/>
      <c r="P1662" s="18"/>
      <c r="Q1662" s="18"/>
    </row>
    <row r="1663" spans="6:17">
      <c r="F1663" s="18"/>
      <c r="G1663" s="18"/>
      <c r="H1663" s="18"/>
      <c r="I1663" s="18"/>
      <c r="J1663" s="18"/>
      <c r="K1663" s="18"/>
      <c r="L1663" s="18"/>
      <c r="M1663" s="18"/>
      <c r="N1663" s="18"/>
      <c r="O1663" s="18"/>
      <c r="P1663" s="18"/>
      <c r="Q1663" s="18"/>
    </row>
    <row r="1664" spans="6:17">
      <c r="F1664" s="18"/>
      <c r="G1664" s="18"/>
      <c r="H1664" s="18"/>
      <c r="I1664" s="18"/>
      <c r="J1664" s="18"/>
      <c r="K1664" s="18"/>
      <c r="L1664" s="18"/>
      <c r="M1664" s="18"/>
      <c r="N1664" s="18"/>
      <c r="O1664" s="18"/>
      <c r="P1664" s="18"/>
      <c r="Q1664" s="18"/>
    </row>
    <row r="1665" spans="6:17">
      <c r="F1665" s="18"/>
      <c r="G1665" s="18"/>
      <c r="H1665" s="18"/>
      <c r="I1665" s="18"/>
      <c r="J1665" s="18"/>
      <c r="K1665" s="18"/>
      <c r="L1665" s="18"/>
      <c r="M1665" s="18"/>
      <c r="N1665" s="18"/>
      <c r="O1665" s="18"/>
      <c r="P1665" s="18"/>
      <c r="Q1665" s="18"/>
    </row>
    <row r="1666" spans="6:17">
      <c r="F1666" s="18"/>
      <c r="G1666" s="18"/>
      <c r="H1666" s="18"/>
      <c r="I1666" s="18"/>
      <c r="J1666" s="18"/>
      <c r="K1666" s="18"/>
      <c r="L1666" s="18"/>
      <c r="M1666" s="18"/>
      <c r="N1666" s="18"/>
      <c r="O1666" s="18"/>
      <c r="P1666" s="18"/>
      <c r="Q1666" s="18"/>
    </row>
    <row r="1667" spans="6:17">
      <c r="F1667" s="18"/>
      <c r="G1667" s="18"/>
      <c r="H1667" s="18"/>
      <c r="I1667" s="18"/>
      <c r="J1667" s="18"/>
      <c r="K1667" s="18"/>
      <c r="L1667" s="18"/>
      <c r="M1667" s="18"/>
      <c r="N1667" s="18"/>
      <c r="O1667" s="18"/>
      <c r="P1667" s="18"/>
      <c r="Q1667" s="18"/>
    </row>
    <row r="1668" spans="6:17">
      <c r="F1668" s="18"/>
      <c r="G1668" s="18"/>
      <c r="H1668" s="18"/>
      <c r="I1668" s="18"/>
      <c r="J1668" s="18"/>
      <c r="K1668" s="18"/>
      <c r="L1668" s="18"/>
      <c r="M1668" s="18"/>
      <c r="N1668" s="18"/>
      <c r="O1668" s="18"/>
      <c r="P1668" s="18"/>
      <c r="Q1668" s="18"/>
    </row>
    <row r="1669" spans="6:17">
      <c r="F1669" s="18"/>
      <c r="G1669" s="18"/>
      <c r="H1669" s="18"/>
      <c r="I1669" s="18"/>
      <c r="J1669" s="18"/>
      <c r="K1669" s="18"/>
      <c r="L1669" s="18"/>
      <c r="M1669" s="18"/>
      <c r="N1669" s="18"/>
      <c r="O1669" s="18"/>
      <c r="P1669" s="18"/>
      <c r="Q1669" s="18"/>
    </row>
    <row r="1670" spans="6:17">
      <c r="F1670" s="18"/>
      <c r="G1670" s="18"/>
      <c r="H1670" s="18"/>
      <c r="I1670" s="18"/>
      <c r="J1670" s="18"/>
      <c r="K1670" s="18"/>
      <c r="L1670" s="18"/>
      <c r="M1670" s="18"/>
      <c r="N1670" s="18"/>
      <c r="O1670" s="18"/>
      <c r="P1670" s="18"/>
      <c r="Q1670" s="18"/>
    </row>
    <row r="1671" spans="6:17">
      <c r="F1671" s="18"/>
      <c r="G1671" s="18"/>
      <c r="H1671" s="18"/>
      <c r="I1671" s="18"/>
      <c r="J1671" s="18"/>
      <c r="K1671" s="18"/>
      <c r="L1671" s="18"/>
      <c r="M1671" s="18"/>
      <c r="N1671" s="18"/>
      <c r="O1671" s="18"/>
      <c r="P1671" s="18"/>
      <c r="Q1671" s="18"/>
    </row>
    <row r="1672" spans="6:17">
      <c r="F1672" s="18"/>
      <c r="G1672" s="18"/>
      <c r="H1672" s="18"/>
      <c r="I1672" s="18"/>
      <c r="J1672" s="18"/>
      <c r="K1672" s="18"/>
      <c r="L1672" s="18"/>
      <c r="M1672" s="18"/>
      <c r="N1672" s="18"/>
      <c r="O1672" s="18"/>
      <c r="P1672" s="18"/>
      <c r="Q1672" s="18"/>
    </row>
    <row r="1673" spans="6:17">
      <c r="F1673" s="18"/>
      <c r="G1673" s="18"/>
      <c r="H1673" s="18"/>
      <c r="I1673" s="18"/>
      <c r="J1673" s="18"/>
      <c r="K1673" s="18"/>
      <c r="L1673" s="18"/>
      <c r="M1673" s="18"/>
      <c r="N1673" s="18"/>
      <c r="O1673" s="18"/>
      <c r="P1673" s="18"/>
      <c r="Q1673" s="18"/>
    </row>
    <row r="1674" spans="6:17">
      <c r="F1674" s="18"/>
      <c r="G1674" s="18"/>
      <c r="H1674" s="18"/>
      <c r="I1674" s="18"/>
      <c r="J1674" s="18"/>
      <c r="K1674" s="18"/>
      <c r="L1674" s="18"/>
      <c r="M1674" s="18"/>
      <c r="N1674" s="18"/>
      <c r="O1674" s="18"/>
      <c r="P1674" s="18"/>
      <c r="Q1674" s="18"/>
    </row>
    <row r="1675" spans="6:17">
      <c r="F1675" s="18"/>
      <c r="G1675" s="18"/>
      <c r="H1675" s="18"/>
      <c r="I1675" s="18"/>
      <c r="J1675" s="18"/>
      <c r="K1675" s="18"/>
      <c r="L1675" s="18"/>
      <c r="M1675" s="18"/>
      <c r="N1675" s="18"/>
      <c r="O1675" s="18"/>
      <c r="P1675" s="18"/>
      <c r="Q1675" s="18"/>
    </row>
    <row r="1676" spans="6:17">
      <c r="F1676" s="18"/>
      <c r="G1676" s="18"/>
      <c r="H1676" s="18"/>
      <c r="I1676" s="18"/>
      <c r="J1676" s="18"/>
      <c r="K1676" s="18"/>
      <c r="L1676" s="18"/>
      <c r="M1676" s="18"/>
      <c r="N1676" s="18"/>
      <c r="O1676" s="18"/>
      <c r="P1676" s="18"/>
      <c r="Q1676" s="18"/>
    </row>
    <row r="1677" spans="6:17">
      <c r="F1677" s="18"/>
      <c r="G1677" s="18"/>
      <c r="H1677" s="18"/>
      <c r="I1677" s="18"/>
      <c r="J1677" s="18"/>
      <c r="K1677" s="18"/>
      <c r="L1677" s="18"/>
      <c r="M1677" s="18"/>
      <c r="N1677" s="18"/>
      <c r="O1677" s="18"/>
      <c r="P1677" s="18"/>
      <c r="Q1677" s="18"/>
    </row>
    <row r="1678" spans="6:17">
      <c r="F1678" s="18"/>
      <c r="G1678" s="18"/>
      <c r="H1678" s="18"/>
      <c r="I1678" s="18"/>
      <c r="J1678" s="18"/>
      <c r="K1678" s="18"/>
      <c r="L1678" s="18"/>
      <c r="M1678" s="18"/>
      <c r="N1678" s="18"/>
      <c r="O1678" s="18"/>
      <c r="P1678" s="18"/>
      <c r="Q1678" s="18"/>
    </row>
    <row r="1679" spans="6:17">
      <c r="F1679" s="18"/>
      <c r="G1679" s="18"/>
      <c r="H1679" s="18"/>
      <c r="I1679" s="18"/>
      <c r="J1679" s="18"/>
      <c r="K1679" s="18"/>
      <c r="L1679" s="18"/>
      <c r="M1679" s="18"/>
      <c r="N1679" s="18"/>
      <c r="O1679" s="18"/>
      <c r="P1679" s="18"/>
      <c r="Q1679" s="18"/>
    </row>
    <row r="1680" spans="6:17">
      <c r="F1680" s="18"/>
      <c r="G1680" s="18"/>
      <c r="H1680" s="18"/>
      <c r="I1680" s="18"/>
      <c r="J1680" s="18"/>
      <c r="K1680" s="18"/>
      <c r="L1680" s="18"/>
      <c r="M1680" s="18"/>
      <c r="N1680" s="18"/>
      <c r="O1680" s="18"/>
      <c r="P1680" s="18"/>
      <c r="Q1680" s="18"/>
    </row>
    <row r="1681" spans="6:17">
      <c r="F1681" s="18"/>
      <c r="G1681" s="18"/>
      <c r="H1681" s="18"/>
      <c r="I1681" s="18"/>
      <c r="J1681" s="18"/>
      <c r="K1681" s="18"/>
      <c r="L1681" s="18"/>
      <c r="M1681" s="18"/>
      <c r="N1681" s="18"/>
      <c r="O1681" s="18"/>
      <c r="P1681" s="18"/>
      <c r="Q1681" s="18"/>
    </row>
    <row r="1682" spans="6:17">
      <c r="F1682" s="18"/>
      <c r="G1682" s="18"/>
      <c r="H1682" s="18"/>
      <c r="I1682" s="18"/>
      <c r="J1682" s="18"/>
      <c r="K1682" s="18"/>
      <c r="L1682" s="18"/>
      <c r="M1682" s="18"/>
      <c r="N1682" s="18"/>
      <c r="O1682" s="18"/>
      <c r="P1682" s="18"/>
      <c r="Q1682" s="18"/>
    </row>
    <row r="1683" spans="6:17">
      <c r="F1683" s="18"/>
      <c r="G1683" s="18"/>
      <c r="H1683" s="18"/>
      <c r="I1683" s="18"/>
      <c r="J1683" s="18"/>
      <c r="K1683" s="18"/>
      <c r="L1683" s="18"/>
      <c r="M1683" s="18"/>
      <c r="N1683" s="18"/>
      <c r="O1683" s="18"/>
      <c r="P1683" s="18"/>
      <c r="Q1683" s="18"/>
    </row>
    <row r="1684" spans="6:17">
      <c r="F1684" s="18"/>
      <c r="G1684" s="18"/>
      <c r="H1684" s="18"/>
      <c r="I1684" s="18"/>
      <c r="J1684" s="18"/>
      <c r="K1684" s="18"/>
      <c r="L1684" s="18"/>
      <c r="M1684" s="18"/>
      <c r="N1684" s="18"/>
      <c r="O1684" s="18"/>
      <c r="P1684" s="18"/>
      <c r="Q1684" s="18"/>
    </row>
    <row r="1685" spans="6:17">
      <c r="F1685" s="18"/>
      <c r="G1685" s="18"/>
      <c r="H1685" s="18"/>
      <c r="I1685" s="18"/>
      <c r="J1685" s="18"/>
      <c r="K1685" s="18"/>
      <c r="L1685" s="18"/>
      <c r="M1685" s="18"/>
      <c r="N1685" s="18"/>
      <c r="O1685" s="18"/>
      <c r="P1685" s="18"/>
      <c r="Q1685" s="18"/>
    </row>
    <row r="1686" spans="6:17">
      <c r="F1686" s="18"/>
      <c r="G1686" s="18"/>
      <c r="H1686" s="18"/>
      <c r="I1686" s="18"/>
      <c r="J1686" s="18"/>
      <c r="K1686" s="18"/>
      <c r="L1686" s="18"/>
      <c r="M1686" s="18"/>
      <c r="N1686" s="18"/>
      <c r="O1686" s="18"/>
      <c r="P1686" s="18"/>
      <c r="Q1686" s="18"/>
    </row>
    <row r="1687" spans="6:17">
      <c r="F1687" s="18"/>
      <c r="G1687" s="18"/>
      <c r="H1687" s="18"/>
      <c r="I1687" s="18"/>
      <c r="J1687" s="18"/>
      <c r="K1687" s="18"/>
      <c r="L1687" s="18"/>
      <c r="M1687" s="18"/>
      <c r="N1687" s="18"/>
      <c r="O1687" s="18"/>
      <c r="P1687" s="18"/>
      <c r="Q1687" s="18"/>
    </row>
    <row r="1688" spans="6:17">
      <c r="F1688" s="18"/>
      <c r="G1688" s="18"/>
      <c r="H1688" s="18"/>
      <c r="I1688" s="18"/>
      <c r="J1688" s="18"/>
      <c r="K1688" s="18"/>
      <c r="L1688" s="18"/>
      <c r="M1688" s="18"/>
      <c r="N1688" s="18"/>
      <c r="O1688" s="18"/>
      <c r="P1688" s="18"/>
      <c r="Q1688" s="18"/>
    </row>
    <row r="1689" spans="6:17">
      <c r="F1689" s="18"/>
      <c r="G1689" s="18"/>
      <c r="H1689" s="18"/>
      <c r="I1689" s="18"/>
      <c r="J1689" s="18"/>
      <c r="K1689" s="18"/>
      <c r="L1689" s="18"/>
      <c r="M1689" s="18"/>
      <c r="N1689" s="18"/>
      <c r="O1689" s="18"/>
      <c r="P1689" s="18"/>
      <c r="Q1689" s="18"/>
    </row>
    <row r="1690" spans="6:17">
      <c r="F1690" s="18"/>
      <c r="G1690" s="18"/>
      <c r="H1690" s="18"/>
      <c r="I1690" s="18"/>
      <c r="J1690" s="18"/>
      <c r="K1690" s="18"/>
      <c r="L1690" s="18"/>
      <c r="M1690" s="18"/>
      <c r="N1690" s="18"/>
      <c r="O1690" s="18"/>
      <c r="P1690" s="18"/>
      <c r="Q1690" s="18"/>
    </row>
    <row r="1691" spans="6:17">
      <c r="F1691" s="18"/>
      <c r="G1691" s="18"/>
      <c r="H1691" s="18"/>
      <c r="I1691" s="18"/>
      <c r="J1691" s="18"/>
      <c r="K1691" s="18"/>
      <c r="L1691" s="18"/>
      <c r="M1691" s="18"/>
      <c r="N1691" s="18"/>
      <c r="O1691" s="18"/>
      <c r="P1691" s="18"/>
      <c r="Q1691" s="18"/>
    </row>
    <row r="1692" spans="6:17">
      <c r="F1692" s="18"/>
      <c r="G1692" s="18"/>
      <c r="H1692" s="18"/>
      <c r="I1692" s="18"/>
      <c r="J1692" s="18"/>
      <c r="K1692" s="18"/>
      <c r="L1692" s="18"/>
      <c r="M1692" s="18"/>
      <c r="N1692" s="18"/>
      <c r="O1692" s="18"/>
      <c r="P1692" s="18"/>
      <c r="Q1692" s="18"/>
    </row>
    <row r="1693" spans="6:17">
      <c r="F1693" s="18"/>
      <c r="G1693" s="18"/>
      <c r="H1693" s="18"/>
      <c r="I1693" s="18"/>
      <c r="J1693" s="18"/>
      <c r="K1693" s="18"/>
      <c r="L1693" s="18"/>
      <c r="M1693" s="18"/>
      <c r="N1693" s="18"/>
      <c r="O1693" s="18"/>
      <c r="P1693" s="18"/>
      <c r="Q1693" s="18"/>
    </row>
    <row r="1694" spans="6:17">
      <c r="F1694" s="18"/>
      <c r="G1694" s="18"/>
      <c r="H1694" s="18"/>
      <c r="I1694" s="18"/>
      <c r="J1694" s="18"/>
      <c r="K1694" s="18"/>
      <c r="L1694" s="18"/>
      <c r="M1694" s="18"/>
      <c r="N1694" s="18"/>
      <c r="O1694" s="18"/>
      <c r="P1694" s="18"/>
      <c r="Q1694" s="18"/>
    </row>
    <row r="1695" spans="6:17">
      <c r="F1695" s="18"/>
      <c r="G1695" s="18"/>
      <c r="H1695" s="18"/>
      <c r="I1695" s="18"/>
      <c r="J1695" s="18"/>
      <c r="K1695" s="18"/>
      <c r="L1695" s="18"/>
      <c r="M1695" s="18"/>
      <c r="N1695" s="18"/>
      <c r="O1695" s="18"/>
      <c r="P1695" s="18"/>
      <c r="Q1695" s="18"/>
    </row>
    <row r="1696" spans="6:17">
      <c r="F1696" s="18"/>
      <c r="G1696" s="18"/>
      <c r="H1696" s="18"/>
      <c r="I1696" s="18"/>
      <c r="J1696" s="18"/>
      <c r="K1696" s="18"/>
      <c r="L1696" s="18"/>
      <c r="M1696" s="18"/>
      <c r="N1696" s="18"/>
      <c r="O1696" s="18"/>
      <c r="P1696" s="18"/>
      <c r="Q1696" s="18"/>
    </row>
    <row r="1697" spans="6:17">
      <c r="F1697" s="18"/>
      <c r="G1697" s="18"/>
      <c r="H1697" s="18"/>
      <c r="I1697" s="18"/>
      <c r="J1697" s="18"/>
      <c r="K1697" s="18"/>
      <c r="L1697" s="18"/>
      <c r="M1697" s="18"/>
      <c r="N1697" s="18"/>
      <c r="O1697" s="18"/>
      <c r="P1697" s="18"/>
      <c r="Q1697" s="18"/>
    </row>
    <row r="1698" spans="6:17">
      <c r="F1698" s="18"/>
      <c r="G1698" s="18"/>
      <c r="H1698" s="18"/>
      <c r="I1698" s="18"/>
      <c r="J1698" s="18"/>
      <c r="K1698" s="18"/>
      <c r="L1698" s="18"/>
      <c r="M1698" s="18"/>
      <c r="N1698" s="18"/>
      <c r="O1698" s="18"/>
      <c r="P1698" s="18"/>
      <c r="Q1698" s="18"/>
    </row>
    <row r="1699" spans="6:17">
      <c r="F1699" s="18"/>
      <c r="G1699" s="18"/>
      <c r="H1699" s="18"/>
      <c r="I1699" s="18"/>
      <c r="J1699" s="18"/>
      <c r="K1699" s="18"/>
      <c r="L1699" s="18"/>
      <c r="M1699" s="18"/>
      <c r="N1699" s="18"/>
      <c r="O1699" s="18"/>
      <c r="P1699" s="18"/>
      <c r="Q1699" s="18"/>
    </row>
    <row r="1700" spans="6:17">
      <c r="F1700" s="18"/>
      <c r="G1700" s="18"/>
      <c r="H1700" s="18"/>
      <c r="I1700" s="18"/>
      <c r="J1700" s="18"/>
      <c r="K1700" s="18"/>
      <c r="L1700" s="18"/>
      <c r="M1700" s="18"/>
      <c r="N1700" s="18"/>
      <c r="O1700" s="18"/>
      <c r="P1700" s="18"/>
      <c r="Q1700" s="18"/>
    </row>
    <row r="1701" spans="6:17">
      <c r="F1701" s="18"/>
      <c r="G1701" s="18"/>
      <c r="H1701" s="18"/>
      <c r="I1701" s="18"/>
      <c r="J1701" s="18"/>
      <c r="K1701" s="18"/>
      <c r="L1701" s="18"/>
      <c r="M1701" s="18"/>
      <c r="N1701" s="18"/>
      <c r="O1701" s="18"/>
      <c r="P1701" s="18"/>
      <c r="Q1701" s="18"/>
    </row>
    <row r="1702" spans="6:17">
      <c r="F1702" s="18"/>
      <c r="G1702" s="18"/>
      <c r="H1702" s="18"/>
      <c r="I1702" s="18"/>
      <c r="J1702" s="18"/>
      <c r="K1702" s="18"/>
      <c r="L1702" s="18"/>
      <c r="M1702" s="18"/>
      <c r="N1702" s="18"/>
      <c r="O1702" s="18"/>
      <c r="P1702" s="18"/>
      <c r="Q1702" s="18"/>
    </row>
    <row r="1703" spans="6:17">
      <c r="F1703" s="18"/>
      <c r="G1703" s="18"/>
      <c r="H1703" s="18"/>
      <c r="I1703" s="18"/>
      <c r="J1703" s="18"/>
      <c r="K1703" s="18"/>
      <c r="L1703" s="18"/>
      <c r="M1703" s="18"/>
      <c r="N1703" s="18"/>
      <c r="O1703" s="18"/>
      <c r="P1703" s="18"/>
      <c r="Q1703" s="18"/>
    </row>
    <row r="1704" spans="6:17">
      <c r="F1704" s="18"/>
      <c r="G1704" s="18"/>
      <c r="H1704" s="18"/>
      <c r="I1704" s="18"/>
      <c r="J1704" s="18"/>
      <c r="K1704" s="18"/>
      <c r="L1704" s="18"/>
      <c r="M1704" s="18"/>
      <c r="N1704" s="18"/>
      <c r="O1704" s="18"/>
      <c r="P1704" s="18"/>
      <c r="Q1704" s="18"/>
    </row>
    <row r="1705" spans="6:17">
      <c r="F1705" s="18"/>
      <c r="G1705" s="18"/>
      <c r="H1705" s="18"/>
      <c r="I1705" s="18"/>
      <c r="J1705" s="18"/>
      <c r="K1705" s="18"/>
      <c r="L1705" s="18"/>
      <c r="M1705" s="18"/>
      <c r="N1705" s="18"/>
      <c r="O1705" s="18"/>
      <c r="P1705" s="18"/>
      <c r="Q1705" s="18"/>
    </row>
    <row r="1706" spans="6:17">
      <c r="F1706" s="18"/>
      <c r="G1706" s="18"/>
      <c r="H1706" s="18"/>
      <c r="I1706" s="18"/>
      <c r="J1706" s="18"/>
      <c r="K1706" s="18"/>
      <c r="L1706" s="18"/>
      <c r="M1706" s="18"/>
      <c r="N1706" s="18"/>
      <c r="O1706" s="18"/>
      <c r="P1706" s="18"/>
      <c r="Q1706" s="18"/>
    </row>
    <row r="1707" spans="6:17">
      <c r="F1707" s="18"/>
      <c r="G1707" s="18"/>
      <c r="H1707" s="18"/>
      <c r="I1707" s="18"/>
      <c r="J1707" s="18"/>
      <c r="K1707" s="18"/>
      <c r="L1707" s="18"/>
      <c r="M1707" s="18"/>
      <c r="N1707" s="18"/>
      <c r="O1707" s="18"/>
      <c r="P1707" s="18"/>
      <c r="Q1707" s="18"/>
    </row>
    <row r="1708" spans="6:17">
      <c r="F1708" s="18"/>
      <c r="G1708" s="18"/>
      <c r="H1708" s="18"/>
      <c r="I1708" s="18"/>
      <c r="J1708" s="18"/>
      <c r="K1708" s="18"/>
      <c r="L1708" s="18"/>
      <c r="M1708" s="18"/>
      <c r="N1708" s="18"/>
      <c r="O1708" s="18"/>
      <c r="P1708" s="18"/>
      <c r="Q1708" s="18"/>
    </row>
    <row r="1709" spans="6:17">
      <c r="F1709" s="18"/>
      <c r="G1709" s="18"/>
      <c r="H1709" s="18"/>
      <c r="I1709" s="18"/>
      <c r="J1709" s="18"/>
      <c r="K1709" s="18"/>
      <c r="L1709" s="18"/>
      <c r="M1709" s="18"/>
      <c r="N1709" s="18"/>
      <c r="O1709" s="18"/>
      <c r="P1709" s="18"/>
      <c r="Q1709" s="18"/>
    </row>
    <row r="1710" spans="6:17">
      <c r="F1710" s="18"/>
      <c r="G1710" s="18"/>
      <c r="H1710" s="18"/>
      <c r="I1710" s="18"/>
      <c r="J1710" s="18"/>
      <c r="K1710" s="18"/>
      <c r="L1710" s="18"/>
      <c r="M1710" s="18"/>
      <c r="N1710" s="18"/>
      <c r="O1710" s="18"/>
      <c r="P1710" s="18"/>
      <c r="Q1710" s="18"/>
    </row>
    <row r="1711" spans="6:17">
      <c r="F1711" s="18"/>
      <c r="G1711" s="18"/>
      <c r="H1711" s="18"/>
      <c r="I1711" s="18"/>
      <c r="J1711" s="18"/>
      <c r="K1711" s="18"/>
      <c r="L1711" s="18"/>
      <c r="M1711" s="18"/>
      <c r="N1711" s="18"/>
      <c r="O1711" s="18"/>
      <c r="P1711" s="18"/>
      <c r="Q1711" s="18"/>
    </row>
    <row r="1712" spans="6:17">
      <c r="F1712" s="18"/>
      <c r="G1712" s="18"/>
      <c r="H1712" s="18"/>
      <c r="I1712" s="18"/>
      <c r="J1712" s="18"/>
      <c r="K1712" s="18"/>
      <c r="L1712" s="18"/>
      <c r="M1712" s="18"/>
      <c r="N1712" s="18"/>
      <c r="O1712" s="18"/>
      <c r="P1712" s="18"/>
      <c r="Q1712" s="18"/>
    </row>
    <row r="1713" spans="6:17">
      <c r="F1713" s="18"/>
      <c r="G1713" s="18"/>
      <c r="H1713" s="18"/>
      <c r="I1713" s="18"/>
      <c r="J1713" s="18"/>
      <c r="K1713" s="18"/>
      <c r="L1713" s="18"/>
      <c r="M1713" s="18"/>
      <c r="N1713" s="18"/>
      <c r="O1713" s="18"/>
      <c r="P1713" s="18"/>
      <c r="Q1713" s="18"/>
    </row>
    <row r="1714" spans="6:17">
      <c r="F1714" s="18"/>
      <c r="G1714" s="18"/>
      <c r="H1714" s="18"/>
      <c r="I1714" s="18"/>
      <c r="J1714" s="18"/>
      <c r="K1714" s="18"/>
      <c r="L1714" s="18"/>
      <c r="M1714" s="18"/>
      <c r="N1714" s="18"/>
      <c r="O1714" s="18"/>
      <c r="P1714" s="18"/>
      <c r="Q1714" s="18"/>
    </row>
    <row r="1715" spans="6:17">
      <c r="F1715" s="18"/>
      <c r="G1715" s="18"/>
      <c r="H1715" s="18"/>
      <c r="I1715" s="18"/>
      <c r="J1715" s="18"/>
      <c r="K1715" s="18"/>
      <c r="L1715" s="18"/>
      <c r="M1715" s="18"/>
      <c r="N1715" s="18"/>
      <c r="O1715" s="18"/>
      <c r="P1715" s="18"/>
      <c r="Q1715" s="18"/>
    </row>
    <row r="1716" spans="6:17">
      <c r="F1716" s="18"/>
      <c r="G1716" s="18"/>
      <c r="H1716" s="18"/>
      <c r="I1716" s="18"/>
      <c r="J1716" s="18"/>
      <c r="K1716" s="18"/>
      <c r="L1716" s="18"/>
      <c r="M1716" s="18"/>
      <c r="N1716" s="18"/>
      <c r="O1716" s="18"/>
      <c r="P1716" s="18"/>
      <c r="Q1716" s="18"/>
    </row>
    <row r="1717" spans="6:17">
      <c r="F1717" s="18"/>
      <c r="G1717" s="18"/>
      <c r="H1717" s="18"/>
      <c r="I1717" s="18"/>
      <c r="J1717" s="18"/>
      <c r="K1717" s="18"/>
      <c r="L1717" s="18"/>
      <c r="M1717" s="18"/>
      <c r="N1717" s="18"/>
      <c r="O1717" s="18"/>
      <c r="P1717" s="18"/>
      <c r="Q1717" s="18"/>
    </row>
    <row r="1718" spans="6:17">
      <c r="F1718" s="18"/>
      <c r="G1718" s="18"/>
      <c r="H1718" s="18"/>
      <c r="I1718" s="18"/>
      <c r="J1718" s="18"/>
      <c r="K1718" s="18"/>
      <c r="L1718" s="18"/>
      <c r="M1718" s="18"/>
      <c r="N1718" s="18"/>
      <c r="O1718" s="18"/>
      <c r="P1718" s="18"/>
      <c r="Q1718" s="18"/>
    </row>
    <row r="1719" spans="6:17">
      <c r="F1719" s="18"/>
      <c r="G1719" s="18"/>
      <c r="H1719" s="18"/>
      <c r="I1719" s="18"/>
      <c r="J1719" s="18"/>
      <c r="K1719" s="18"/>
      <c r="L1719" s="18"/>
      <c r="M1719" s="18"/>
      <c r="N1719" s="18"/>
      <c r="O1719" s="18"/>
      <c r="P1719" s="18"/>
      <c r="Q1719" s="18"/>
    </row>
    <row r="1720" spans="6:17">
      <c r="F1720" s="18"/>
      <c r="G1720" s="18"/>
      <c r="H1720" s="18"/>
      <c r="I1720" s="18"/>
      <c r="J1720" s="18"/>
      <c r="K1720" s="18"/>
      <c r="L1720" s="18"/>
      <c r="M1720" s="18"/>
      <c r="N1720" s="18"/>
      <c r="O1720" s="18"/>
      <c r="P1720" s="18"/>
      <c r="Q1720" s="18"/>
    </row>
    <row r="1721" spans="6:17">
      <c r="F1721" s="18"/>
      <c r="G1721" s="18"/>
      <c r="H1721" s="18"/>
      <c r="I1721" s="18"/>
      <c r="J1721" s="18"/>
      <c r="K1721" s="18"/>
      <c r="L1721" s="18"/>
      <c r="M1721" s="18"/>
      <c r="N1721" s="18"/>
      <c r="O1721" s="18"/>
      <c r="P1721" s="18"/>
      <c r="Q1721" s="18"/>
    </row>
    <row r="1722" spans="6:17">
      <c r="F1722" s="18"/>
      <c r="G1722" s="18"/>
      <c r="H1722" s="18"/>
      <c r="I1722" s="18"/>
      <c r="J1722" s="18"/>
      <c r="K1722" s="18"/>
      <c r="L1722" s="18"/>
      <c r="M1722" s="18"/>
      <c r="N1722" s="18"/>
      <c r="O1722" s="18"/>
      <c r="P1722" s="18"/>
      <c r="Q1722" s="18"/>
    </row>
    <row r="1723" spans="6:17">
      <c r="F1723" s="18"/>
      <c r="G1723" s="18"/>
      <c r="H1723" s="18"/>
      <c r="I1723" s="18"/>
      <c r="J1723" s="18"/>
      <c r="K1723" s="18"/>
      <c r="L1723" s="18"/>
      <c r="M1723" s="18"/>
      <c r="N1723" s="18"/>
      <c r="O1723" s="18"/>
      <c r="P1723" s="18"/>
      <c r="Q1723" s="18"/>
    </row>
    <row r="1724" spans="6:17">
      <c r="F1724" s="18"/>
      <c r="G1724" s="18"/>
      <c r="H1724" s="18"/>
      <c r="I1724" s="18"/>
      <c r="J1724" s="18"/>
      <c r="K1724" s="18"/>
      <c r="L1724" s="18"/>
      <c r="M1724" s="18"/>
      <c r="N1724" s="18"/>
      <c r="O1724" s="18"/>
      <c r="P1724" s="18"/>
      <c r="Q1724" s="18"/>
    </row>
    <row r="1725" spans="6:17">
      <c r="F1725" s="18"/>
      <c r="G1725" s="18"/>
      <c r="H1725" s="18"/>
      <c r="I1725" s="18"/>
      <c r="J1725" s="18"/>
      <c r="K1725" s="18"/>
      <c r="L1725" s="18"/>
      <c r="M1725" s="18"/>
      <c r="N1725" s="18"/>
      <c r="O1725" s="18"/>
      <c r="P1725" s="18"/>
      <c r="Q1725" s="18"/>
    </row>
    <row r="1726" spans="6:17">
      <c r="F1726" s="36" t="e">
        <f>(#REF!-#REF!)/#REF!</f>
        <v>#REF!</v>
      </c>
      <c r="G1726" s="36" t="e">
        <f>(#REF!-#REF!)/#REF!</f>
        <v>#REF!</v>
      </c>
      <c r="H1726" s="36" t="e">
        <f>(#REF!-#REF!)/#REF!</f>
        <v>#REF!</v>
      </c>
      <c r="I1726" s="36" t="e">
        <f>(#REF!-#REF!)/#REF!</f>
        <v>#REF!</v>
      </c>
      <c r="J1726" s="36" t="e">
        <f>(#REF!-#REF!)/#REF!</f>
        <v>#REF!</v>
      </c>
      <c r="K1726" s="36" t="e">
        <f>(C1726-C1484)/C1484</f>
        <v>#DIV/0!</v>
      </c>
      <c r="L1726" s="36" t="e">
        <f>(D1726-D1484)/D1484</f>
        <v>#DIV/0!</v>
      </c>
      <c r="M1726" s="36" t="e">
        <f>(F1726-F1484)/F1484</f>
        <v>#REF!</v>
      </c>
      <c r="N1726" s="36" t="e">
        <f>(G1726-G1484)/G1484</f>
        <v>#REF!</v>
      </c>
      <c r="O1726" s="36" t="e">
        <f>(H1726-H1484)/H1484</f>
        <v>#REF!</v>
      </c>
      <c r="P1726" s="36" t="e">
        <f>(I1726-I1484)/I1484</f>
        <v>#REF!</v>
      </c>
      <c r="Q1726" s="36"/>
    </row>
    <row r="1727" spans="6:17">
      <c r="F1727" s="18"/>
      <c r="G1727" s="18"/>
      <c r="H1727" s="18"/>
      <c r="I1727" s="18"/>
      <c r="J1727" s="18"/>
      <c r="K1727" s="18"/>
      <c r="L1727" s="18"/>
      <c r="M1727" s="18"/>
      <c r="N1727" s="18"/>
      <c r="O1727" s="18"/>
      <c r="P1727" s="18"/>
      <c r="Q1727" s="18"/>
    </row>
    <row r="1728" spans="6:17">
      <c r="F1728" s="18"/>
      <c r="G1728" s="18"/>
      <c r="H1728" s="18"/>
      <c r="I1728" s="18"/>
      <c r="J1728" s="18"/>
      <c r="K1728" s="18"/>
      <c r="L1728" s="18"/>
      <c r="M1728" s="18"/>
      <c r="N1728" s="18"/>
      <c r="O1728" s="18"/>
      <c r="P1728" s="18"/>
      <c r="Q1728" s="18"/>
    </row>
    <row r="1729" spans="6:17">
      <c r="F1729" s="18"/>
      <c r="G1729" s="18"/>
      <c r="H1729" s="18"/>
      <c r="I1729" s="18"/>
      <c r="J1729" s="18"/>
      <c r="K1729" s="18"/>
      <c r="L1729" s="18"/>
      <c r="M1729" s="18"/>
      <c r="N1729" s="18"/>
      <c r="O1729" s="18"/>
      <c r="P1729" s="18"/>
      <c r="Q1729" s="18"/>
    </row>
    <row r="1730" spans="6:17">
      <c r="F1730" s="18"/>
      <c r="G1730" s="18"/>
      <c r="H1730" s="18"/>
      <c r="I1730" s="18"/>
      <c r="J1730" s="18"/>
      <c r="K1730" s="18"/>
      <c r="L1730" s="18"/>
      <c r="M1730" s="18"/>
      <c r="N1730" s="18"/>
      <c r="O1730" s="18"/>
      <c r="P1730" s="18"/>
      <c r="Q1730" s="18"/>
    </row>
    <row r="1731" spans="6:17">
      <c r="F1731" s="18"/>
      <c r="G1731" s="18"/>
      <c r="H1731" s="18"/>
      <c r="I1731" s="18"/>
      <c r="J1731" s="18"/>
      <c r="K1731" s="18"/>
      <c r="L1731" s="18"/>
      <c r="M1731" s="18"/>
      <c r="N1731" s="18"/>
      <c r="O1731" s="18"/>
      <c r="P1731" s="18"/>
      <c r="Q1731" s="18"/>
    </row>
    <row r="1732" spans="6:17">
      <c r="F1732" s="18"/>
      <c r="G1732" s="18"/>
      <c r="H1732" s="18"/>
      <c r="I1732" s="18"/>
      <c r="J1732" s="18"/>
      <c r="K1732" s="18"/>
      <c r="L1732" s="18"/>
      <c r="M1732" s="18"/>
      <c r="N1732" s="18"/>
      <c r="O1732" s="18"/>
      <c r="P1732" s="18"/>
      <c r="Q1732" s="18"/>
    </row>
    <row r="1733" spans="6:17">
      <c r="F1733" s="18"/>
      <c r="G1733" s="18"/>
      <c r="H1733" s="18"/>
      <c r="I1733" s="18"/>
      <c r="J1733" s="18"/>
      <c r="K1733" s="18"/>
      <c r="L1733" s="18"/>
      <c r="M1733" s="18"/>
      <c r="N1733" s="18"/>
      <c r="O1733" s="18"/>
      <c r="P1733" s="18"/>
      <c r="Q1733" s="18"/>
    </row>
    <row r="1734" spans="6:17">
      <c r="F1734" s="18"/>
      <c r="G1734" s="18"/>
      <c r="H1734" s="18"/>
      <c r="I1734" s="18"/>
      <c r="J1734" s="18"/>
      <c r="K1734" s="18"/>
      <c r="L1734" s="18"/>
      <c r="M1734" s="18"/>
      <c r="N1734" s="18"/>
      <c r="O1734" s="18"/>
      <c r="P1734" s="18"/>
      <c r="Q1734" s="18"/>
    </row>
    <row r="1735" spans="6:17">
      <c r="F1735" s="18"/>
      <c r="G1735" s="18"/>
      <c r="H1735" s="18"/>
      <c r="I1735" s="18"/>
      <c r="J1735" s="18"/>
      <c r="K1735" s="18"/>
      <c r="L1735" s="18"/>
      <c r="M1735" s="18"/>
      <c r="N1735" s="18"/>
      <c r="O1735" s="18"/>
      <c r="P1735" s="18"/>
      <c r="Q1735" s="18"/>
    </row>
    <row r="1736" spans="6:17">
      <c r="F1736" s="18"/>
      <c r="G1736" s="18"/>
      <c r="H1736" s="18"/>
      <c r="I1736" s="18"/>
      <c r="J1736" s="18"/>
      <c r="K1736" s="18"/>
      <c r="L1736" s="18"/>
      <c r="M1736" s="18"/>
      <c r="N1736" s="18"/>
      <c r="O1736" s="18"/>
      <c r="P1736" s="18"/>
      <c r="Q1736" s="18"/>
    </row>
    <row r="1737" spans="6:17">
      <c r="F1737" s="18"/>
      <c r="G1737" s="18"/>
      <c r="H1737" s="18"/>
      <c r="I1737" s="18"/>
      <c r="J1737" s="18"/>
      <c r="K1737" s="18"/>
      <c r="L1737" s="18"/>
      <c r="M1737" s="18"/>
      <c r="N1737" s="18"/>
      <c r="O1737" s="18"/>
      <c r="P1737" s="18"/>
      <c r="Q1737" s="18"/>
    </row>
    <row r="1738" spans="6:17">
      <c r="F1738" s="18"/>
      <c r="G1738" s="18"/>
      <c r="H1738" s="18"/>
      <c r="I1738" s="18"/>
      <c r="J1738" s="18"/>
      <c r="K1738" s="18"/>
      <c r="L1738" s="18"/>
      <c r="M1738" s="18"/>
      <c r="N1738" s="18"/>
      <c r="O1738" s="18"/>
      <c r="P1738" s="18"/>
      <c r="Q1738" s="18"/>
    </row>
    <row r="1739" spans="6:17">
      <c r="F1739" s="18"/>
      <c r="G1739" s="18"/>
      <c r="H1739" s="18"/>
      <c r="I1739" s="18"/>
      <c r="J1739" s="18"/>
      <c r="K1739" s="18"/>
      <c r="L1739" s="18"/>
      <c r="M1739" s="18"/>
      <c r="N1739" s="18"/>
      <c r="O1739" s="18"/>
      <c r="P1739" s="18"/>
      <c r="Q1739" s="18"/>
    </row>
    <row r="1740" spans="6:17">
      <c r="F1740" s="18"/>
      <c r="G1740" s="18"/>
      <c r="H1740" s="18"/>
      <c r="I1740" s="18"/>
      <c r="J1740" s="18"/>
      <c r="K1740" s="18"/>
      <c r="L1740" s="18"/>
      <c r="M1740" s="18"/>
      <c r="N1740" s="18"/>
      <c r="O1740" s="18"/>
      <c r="P1740" s="18"/>
      <c r="Q1740" s="18"/>
    </row>
    <row r="1741" spans="6:17">
      <c r="F1741" s="18"/>
      <c r="G1741" s="18"/>
      <c r="H1741" s="18"/>
      <c r="I1741" s="18"/>
      <c r="J1741" s="18"/>
      <c r="K1741" s="18"/>
      <c r="L1741" s="18"/>
      <c r="M1741" s="18"/>
      <c r="N1741" s="18"/>
      <c r="O1741" s="18"/>
      <c r="P1741" s="18"/>
      <c r="Q1741" s="18"/>
    </row>
    <row r="1742" spans="6:17">
      <c r="F1742" s="18"/>
      <c r="G1742" s="18"/>
      <c r="H1742" s="18"/>
      <c r="I1742" s="18"/>
      <c r="J1742" s="18"/>
      <c r="K1742" s="18"/>
      <c r="L1742" s="18"/>
      <c r="M1742" s="18"/>
      <c r="N1742" s="18"/>
      <c r="O1742" s="18"/>
      <c r="P1742" s="18"/>
      <c r="Q1742" s="18"/>
    </row>
    <row r="1743" spans="6:17">
      <c r="F1743" s="18"/>
      <c r="G1743" s="18"/>
      <c r="H1743" s="18"/>
      <c r="I1743" s="18"/>
      <c r="J1743" s="18"/>
      <c r="K1743" s="18"/>
      <c r="L1743" s="18"/>
      <c r="M1743" s="18"/>
      <c r="N1743" s="18"/>
      <c r="O1743" s="18"/>
      <c r="P1743" s="18"/>
      <c r="Q1743" s="18"/>
    </row>
    <row r="1744" spans="6:17">
      <c r="F1744" s="18"/>
      <c r="G1744" s="18"/>
      <c r="H1744" s="18"/>
      <c r="I1744" s="18"/>
      <c r="J1744" s="18"/>
      <c r="K1744" s="18"/>
      <c r="L1744" s="18"/>
      <c r="M1744" s="18"/>
      <c r="N1744" s="18"/>
      <c r="O1744" s="18"/>
      <c r="P1744" s="18"/>
      <c r="Q1744" s="18"/>
    </row>
    <row r="1745" spans="6:17">
      <c r="F1745" s="18"/>
      <c r="G1745" s="18"/>
      <c r="H1745" s="18"/>
      <c r="I1745" s="18"/>
      <c r="J1745" s="18"/>
      <c r="K1745" s="18"/>
      <c r="L1745" s="18"/>
      <c r="M1745" s="18"/>
      <c r="N1745" s="18"/>
      <c r="O1745" s="18"/>
      <c r="P1745" s="18"/>
      <c r="Q1745" s="18"/>
    </row>
    <row r="1746" spans="6:17">
      <c r="F1746" s="18"/>
      <c r="G1746" s="18"/>
      <c r="H1746" s="18"/>
      <c r="I1746" s="18"/>
      <c r="J1746" s="18"/>
      <c r="K1746" s="18"/>
      <c r="L1746" s="18"/>
      <c r="M1746" s="18"/>
      <c r="N1746" s="18"/>
      <c r="O1746" s="18"/>
      <c r="P1746" s="18"/>
      <c r="Q1746" s="18"/>
    </row>
    <row r="1747" spans="6:17">
      <c r="F1747" s="18"/>
      <c r="G1747" s="18"/>
      <c r="H1747" s="18"/>
      <c r="I1747" s="18"/>
      <c r="J1747" s="18"/>
      <c r="K1747" s="18"/>
      <c r="L1747" s="18"/>
      <c r="M1747" s="18"/>
      <c r="N1747" s="18"/>
      <c r="O1747" s="18"/>
      <c r="P1747" s="18"/>
      <c r="Q1747" s="18"/>
    </row>
    <row r="1748" spans="6:17">
      <c r="F1748" s="18"/>
      <c r="G1748" s="18"/>
      <c r="H1748" s="18"/>
      <c r="I1748" s="18"/>
      <c r="J1748" s="18"/>
      <c r="K1748" s="18"/>
      <c r="L1748" s="18"/>
      <c r="M1748" s="18"/>
      <c r="N1748" s="18"/>
      <c r="O1748" s="18"/>
      <c r="P1748" s="18"/>
      <c r="Q1748" s="18"/>
    </row>
    <row r="1749" spans="6:17">
      <c r="F1749" s="18"/>
      <c r="G1749" s="18"/>
      <c r="H1749" s="18"/>
      <c r="I1749" s="18"/>
      <c r="J1749" s="18"/>
      <c r="K1749" s="18"/>
      <c r="L1749" s="18"/>
      <c r="M1749" s="18"/>
      <c r="N1749" s="18"/>
      <c r="O1749" s="18"/>
      <c r="P1749" s="18"/>
      <c r="Q1749" s="18"/>
    </row>
    <row r="1750" spans="6:17">
      <c r="F1750" s="18"/>
      <c r="G1750" s="18"/>
      <c r="H1750" s="18"/>
      <c r="I1750" s="18"/>
      <c r="J1750" s="18"/>
      <c r="K1750" s="18"/>
      <c r="L1750" s="18"/>
      <c r="M1750" s="18"/>
      <c r="N1750" s="18"/>
      <c r="O1750" s="18"/>
      <c r="P1750" s="18"/>
      <c r="Q1750" s="18"/>
    </row>
    <row r="1751" spans="6:17">
      <c r="F1751" s="18"/>
      <c r="G1751" s="18"/>
      <c r="H1751" s="18"/>
      <c r="I1751" s="18"/>
      <c r="J1751" s="18"/>
      <c r="K1751" s="18"/>
      <c r="L1751" s="18"/>
      <c r="M1751" s="18"/>
      <c r="N1751" s="18"/>
      <c r="O1751" s="18"/>
      <c r="P1751" s="18"/>
      <c r="Q1751" s="18"/>
    </row>
    <row r="1752" spans="6:17">
      <c r="F1752" s="18"/>
      <c r="G1752" s="18"/>
      <c r="H1752" s="18"/>
      <c r="I1752" s="18"/>
      <c r="J1752" s="18"/>
      <c r="K1752" s="18"/>
      <c r="L1752" s="18"/>
      <c r="M1752" s="18"/>
      <c r="N1752" s="18"/>
      <c r="O1752" s="18"/>
      <c r="P1752" s="18"/>
      <c r="Q1752" s="18"/>
    </row>
    <row r="1753" spans="6:17">
      <c r="F1753" s="18"/>
      <c r="G1753" s="18"/>
      <c r="H1753" s="18"/>
      <c r="I1753" s="18"/>
      <c r="J1753" s="18"/>
      <c r="K1753" s="18"/>
      <c r="L1753" s="18"/>
      <c r="M1753" s="18"/>
      <c r="N1753" s="18"/>
      <c r="O1753" s="18"/>
      <c r="P1753" s="18"/>
      <c r="Q1753" s="18"/>
    </row>
    <row r="1754" spans="6:17">
      <c r="F1754" s="18"/>
      <c r="G1754" s="18"/>
      <c r="H1754" s="18"/>
      <c r="I1754" s="18"/>
      <c r="J1754" s="18"/>
      <c r="K1754" s="18"/>
      <c r="L1754" s="18"/>
      <c r="M1754" s="18"/>
      <c r="N1754" s="18"/>
      <c r="O1754" s="18"/>
      <c r="P1754" s="18"/>
      <c r="Q1754" s="18"/>
    </row>
    <row r="1755" spans="6:17">
      <c r="F1755" s="18"/>
      <c r="G1755" s="18"/>
      <c r="H1755" s="18"/>
      <c r="I1755" s="18"/>
      <c r="J1755" s="18"/>
      <c r="K1755" s="18"/>
      <c r="L1755" s="18"/>
      <c r="M1755" s="18"/>
      <c r="N1755" s="18"/>
      <c r="O1755" s="18"/>
      <c r="P1755" s="18"/>
      <c r="Q1755" s="18"/>
    </row>
    <row r="1756" spans="6:17">
      <c r="F1756" s="18"/>
      <c r="G1756" s="18"/>
      <c r="H1756" s="18"/>
      <c r="I1756" s="18"/>
      <c r="J1756" s="18"/>
      <c r="K1756" s="18"/>
      <c r="L1756" s="18"/>
      <c r="M1756" s="18"/>
      <c r="N1756" s="18"/>
      <c r="O1756" s="18"/>
      <c r="P1756" s="18"/>
      <c r="Q1756" s="18"/>
    </row>
    <row r="1757" spans="6:17">
      <c r="F1757" s="18"/>
      <c r="G1757" s="18"/>
      <c r="H1757" s="18"/>
      <c r="I1757" s="18"/>
      <c r="J1757" s="18"/>
      <c r="K1757" s="18"/>
      <c r="L1757" s="18"/>
      <c r="M1757" s="18"/>
      <c r="N1757" s="18"/>
      <c r="O1757" s="18"/>
      <c r="P1757" s="18"/>
      <c r="Q1757" s="18"/>
    </row>
    <row r="1758" spans="6:17">
      <c r="F1758" s="18"/>
      <c r="G1758" s="18"/>
      <c r="H1758" s="18"/>
      <c r="I1758" s="18"/>
      <c r="J1758" s="18"/>
      <c r="K1758" s="18"/>
      <c r="L1758" s="18"/>
      <c r="M1758" s="18"/>
      <c r="N1758" s="18"/>
      <c r="O1758" s="18"/>
      <c r="P1758" s="18"/>
      <c r="Q1758" s="18"/>
    </row>
    <row r="1759" spans="6:17">
      <c r="F1759" s="18"/>
      <c r="G1759" s="18"/>
      <c r="H1759" s="18"/>
      <c r="I1759" s="18"/>
      <c r="J1759" s="18"/>
      <c r="K1759" s="18"/>
      <c r="L1759" s="18"/>
      <c r="M1759" s="18"/>
      <c r="N1759" s="18"/>
      <c r="O1759" s="18"/>
      <c r="P1759" s="18"/>
      <c r="Q1759" s="18"/>
    </row>
    <row r="1760" spans="6:17">
      <c r="F1760" s="18"/>
      <c r="G1760" s="18"/>
      <c r="H1760" s="18"/>
      <c r="I1760" s="18"/>
      <c r="J1760" s="18"/>
      <c r="K1760" s="18"/>
      <c r="L1760" s="18"/>
      <c r="M1760" s="18"/>
      <c r="N1760" s="18"/>
      <c r="O1760" s="18"/>
      <c r="P1760" s="18"/>
      <c r="Q1760" s="18"/>
    </row>
    <row r="1761" spans="6:17">
      <c r="F1761" s="18"/>
      <c r="G1761" s="18"/>
      <c r="H1761" s="18"/>
      <c r="I1761" s="18"/>
      <c r="J1761" s="18"/>
      <c r="K1761" s="18"/>
      <c r="L1761" s="18"/>
      <c r="M1761" s="18"/>
      <c r="N1761" s="18"/>
      <c r="O1761" s="18"/>
      <c r="P1761" s="18"/>
      <c r="Q1761" s="18"/>
    </row>
    <row r="1762" spans="6:17">
      <c r="F1762" s="18"/>
      <c r="G1762" s="18"/>
      <c r="H1762" s="18"/>
      <c r="I1762" s="18"/>
      <c r="J1762" s="18"/>
      <c r="K1762" s="18"/>
      <c r="L1762" s="18"/>
      <c r="M1762" s="18"/>
      <c r="N1762" s="18"/>
      <c r="O1762" s="18"/>
      <c r="P1762" s="18"/>
      <c r="Q1762" s="18"/>
    </row>
    <row r="1763" spans="6:17">
      <c r="F1763" s="18"/>
      <c r="G1763" s="18"/>
      <c r="H1763" s="18"/>
      <c r="I1763" s="18"/>
      <c r="J1763" s="18"/>
      <c r="K1763" s="18"/>
      <c r="L1763" s="18"/>
      <c r="M1763" s="18"/>
      <c r="N1763" s="18"/>
      <c r="O1763" s="18"/>
      <c r="P1763" s="18"/>
      <c r="Q1763" s="18"/>
    </row>
    <row r="1764" spans="6:17">
      <c r="F1764" s="18"/>
      <c r="G1764" s="18"/>
      <c r="H1764" s="18"/>
      <c r="I1764" s="18"/>
      <c r="J1764" s="18"/>
      <c r="K1764" s="18"/>
      <c r="L1764" s="18"/>
      <c r="M1764" s="18"/>
      <c r="N1764" s="18"/>
      <c r="O1764" s="18"/>
      <c r="P1764" s="18"/>
      <c r="Q1764" s="18"/>
    </row>
    <row r="1765" spans="6:17">
      <c r="F1765" s="18"/>
      <c r="G1765" s="18"/>
      <c r="H1765" s="18"/>
      <c r="I1765" s="18"/>
      <c r="J1765" s="18"/>
      <c r="K1765" s="18"/>
      <c r="L1765" s="18"/>
      <c r="M1765" s="18"/>
      <c r="N1765" s="18"/>
      <c r="O1765" s="18"/>
      <c r="P1765" s="18"/>
      <c r="Q1765" s="18"/>
    </row>
    <row r="1766" spans="6:17">
      <c r="F1766" s="18"/>
      <c r="G1766" s="18"/>
      <c r="H1766" s="18"/>
      <c r="I1766" s="18"/>
      <c r="J1766" s="18"/>
      <c r="K1766" s="18"/>
      <c r="L1766" s="18"/>
      <c r="M1766" s="18"/>
      <c r="N1766" s="18"/>
      <c r="O1766" s="18"/>
      <c r="P1766" s="18"/>
      <c r="Q1766" s="18"/>
    </row>
    <row r="1767" spans="6:17">
      <c r="F1767" s="18"/>
      <c r="G1767" s="18"/>
      <c r="H1767" s="18"/>
      <c r="I1767" s="18"/>
      <c r="J1767" s="18"/>
      <c r="K1767" s="18"/>
      <c r="L1767" s="18"/>
      <c r="M1767" s="18"/>
      <c r="N1767" s="18"/>
      <c r="O1767" s="18"/>
      <c r="P1767" s="18"/>
      <c r="Q1767" s="18"/>
    </row>
    <row r="1768" spans="6:17">
      <c r="F1768" s="18"/>
      <c r="G1768" s="18"/>
      <c r="H1768" s="18"/>
      <c r="I1768" s="18"/>
      <c r="J1768" s="18"/>
      <c r="K1768" s="18"/>
      <c r="L1768" s="18"/>
      <c r="M1768" s="18"/>
      <c r="N1768" s="18"/>
      <c r="O1768" s="18"/>
      <c r="P1768" s="18"/>
      <c r="Q1768" s="18"/>
    </row>
    <row r="1769" spans="6:17">
      <c r="F1769" s="18"/>
      <c r="G1769" s="18"/>
      <c r="H1769" s="18"/>
      <c r="I1769" s="18"/>
      <c r="J1769" s="18"/>
      <c r="K1769" s="18"/>
      <c r="L1769" s="18"/>
      <c r="M1769" s="18"/>
      <c r="N1769" s="18"/>
      <c r="O1769" s="18"/>
      <c r="P1769" s="18"/>
      <c r="Q1769" s="18"/>
    </row>
    <row r="1770" spans="6:17">
      <c r="F1770" s="18"/>
      <c r="G1770" s="18"/>
      <c r="H1770" s="18"/>
      <c r="I1770" s="18"/>
      <c r="J1770" s="18"/>
      <c r="K1770" s="18"/>
      <c r="L1770" s="18"/>
      <c r="M1770" s="18"/>
      <c r="N1770" s="18"/>
      <c r="O1770" s="18"/>
      <c r="P1770" s="18"/>
      <c r="Q1770" s="18"/>
    </row>
    <row r="1771" spans="6:17">
      <c r="F1771" s="18"/>
      <c r="G1771" s="18"/>
      <c r="H1771" s="18"/>
      <c r="I1771" s="18"/>
      <c r="J1771" s="18"/>
      <c r="K1771" s="18"/>
      <c r="L1771" s="18"/>
      <c r="M1771" s="18"/>
      <c r="N1771" s="18"/>
      <c r="O1771" s="18"/>
      <c r="P1771" s="18"/>
      <c r="Q1771" s="18"/>
    </row>
    <row r="1772" spans="6:17">
      <c r="F1772" s="18"/>
      <c r="G1772" s="18"/>
      <c r="H1772" s="18"/>
      <c r="I1772" s="18"/>
      <c r="J1772" s="18"/>
      <c r="K1772" s="18"/>
      <c r="L1772" s="18"/>
      <c r="M1772" s="18"/>
      <c r="N1772" s="18"/>
      <c r="O1772" s="18"/>
      <c r="P1772" s="18"/>
      <c r="Q1772" s="18"/>
    </row>
    <row r="1773" spans="6:17">
      <c r="F1773" s="18"/>
      <c r="G1773" s="18"/>
      <c r="H1773" s="18"/>
      <c r="I1773" s="18"/>
      <c r="J1773" s="18"/>
      <c r="K1773" s="18"/>
      <c r="L1773" s="18"/>
      <c r="M1773" s="18"/>
      <c r="N1773" s="18"/>
      <c r="O1773" s="18"/>
      <c r="P1773" s="18"/>
      <c r="Q1773" s="18"/>
    </row>
    <row r="1774" spans="6:17">
      <c r="F1774" s="18"/>
      <c r="G1774" s="18"/>
      <c r="H1774" s="18"/>
      <c r="I1774" s="18"/>
      <c r="J1774" s="18"/>
      <c r="K1774" s="18"/>
      <c r="L1774" s="18"/>
      <c r="M1774" s="18"/>
      <c r="N1774" s="18"/>
      <c r="O1774" s="18"/>
      <c r="P1774" s="18"/>
      <c r="Q1774" s="18"/>
    </row>
    <row r="1775" spans="6:17">
      <c r="F1775" s="18"/>
      <c r="G1775" s="18"/>
      <c r="H1775" s="18"/>
      <c r="I1775" s="18"/>
      <c r="J1775" s="18"/>
      <c r="K1775" s="18"/>
      <c r="L1775" s="18"/>
      <c r="M1775" s="18"/>
      <c r="N1775" s="18"/>
      <c r="O1775" s="18"/>
      <c r="P1775" s="18"/>
      <c r="Q1775" s="18"/>
    </row>
    <row r="1776" spans="6:17">
      <c r="F1776" s="18"/>
      <c r="G1776" s="18"/>
      <c r="H1776" s="18"/>
      <c r="I1776" s="18"/>
      <c r="J1776" s="18"/>
      <c r="K1776" s="18"/>
      <c r="L1776" s="18"/>
      <c r="M1776" s="18"/>
      <c r="N1776" s="18"/>
      <c r="O1776" s="18"/>
      <c r="P1776" s="18"/>
      <c r="Q1776" s="18"/>
    </row>
    <row r="1777" spans="6:17">
      <c r="F1777" s="18"/>
      <c r="G1777" s="18"/>
      <c r="H1777" s="18"/>
      <c r="I1777" s="18"/>
      <c r="J1777" s="18"/>
      <c r="K1777" s="18"/>
      <c r="L1777" s="18"/>
      <c r="M1777" s="18"/>
      <c r="N1777" s="18"/>
      <c r="O1777" s="18"/>
      <c r="P1777" s="18"/>
      <c r="Q1777" s="18"/>
    </row>
    <row r="1778" spans="6:17">
      <c r="F1778" s="18"/>
      <c r="G1778" s="18"/>
      <c r="H1778" s="18"/>
      <c r="I1778" s="18"/>
      <c r="J1778" s="18"/>
      <c r="K1778" s="18"/>
      <c r="L1778" s="18"/>
      <c r="M1778" s="18"/>
      <c r="N1778" s="18"/>
      <c r="O1778" s="18"/>
      <c r="P1778" s="18"/>
      <c r="Q1778" s="18"/>
    </row>
    <row r="1779" spans="6:17">
      <c r="F1779" s="18"/>
      <c r="G1779" s="18"/>
      <c r="H1779" s="18"/>
      <c r="I1779" s="18"/>
      <c r="J1779" s="18"/>
      <c r="K1779" s="18"/>
      <c r="L1779" s="18"/>
      <c r="M1779" s="18"/>
      <c r="N1779" s="18"/>
      <c r="O1779" s="18"/>
      <c r="P1779" s="18"/>
      <c r="Q1779" s="18"/>
    </row>
    <row r="1780" spans="6:17">
      <c r="F1780" s="18"/>
      <c r="G1780" s="18"/>
      <c r="H1780" s="18"/>
      <c r="I1780" s="18"/>
      <c r="J1780" s="18"/>
      <c r="K1780" s="18"/>
      <c r="L1780" s="18"/>
      <c r="M1780" s="18"/>
      <c r="N1780" s="18"/>
      <c r="O1780" s="18"/>
      <c r="P1780" s="18"/>
      <c r="Q1780" s="18"/>
    </row>
    <row r="1781" spans="6:17">
      <c r="F1781" s="18"/>
      <c r="G1781" s="18"/>
      <c r="H1781" s="18"/>
      <c r="I1781" s="18"/>
      <c r="J1781" s="18"/>
      <c r="K1781" s="18"/>
      <c r="L1781" s="18"/>
      <c r="M1781" s="18"/>
      <c r="N1781" s="18"/>
      <c r="O1781" s="18"/>
      <c r="P1781" s="18"/>
      <c r="Q1781" s="18"/>
    </row>
    <row r="1782" spans="6:17">
      <c r="F1782" s="18"/>
      <c r="G1782" s="18"/>
      <c r="H1782" s="18"/>
      <c r="I1782" s="18"/>
      <c r="J1782" s="18"/>
      <c r="K1782" s="18"/>
      <c r="L1782" s="18"/>
      <c r="M1782" s="18"/>
      <c r="N1782" s="18"/>
      <c r="O1782" s="18"/>
      <c r="P1782" s="18"/>
      <c r="Q1782" s="18"/>
    </row>
    <row r="1783" spans="6:17">
      <c r="F1783" s="18"/>
      <c r="G1783" s="18"/>
      <c r="H1783" s="18"/>
      <c r="I1783" s="18"/>
      <c r="J1783" s="18"/>
      <c r="K1783" s="18"/>
      <c r="L1783" s="18"/>
      <c r="M1783" s="18"/>
      <c r="N1783" s="18"/>
      <c r="O1783" s="18"/>
      <c r="P1783" s="18"/>
      <c r="Q1783" s="18"/>
    </row>
    <row r="1784" spans="6:17">
      <c r="F1784" s="18"/>
      <c r="G1784" s="18"/>
      <c r="H1784" s="18"/>
      <c r="I1784" s="18"/>
      <c r="J1784" s="18"/>
      <c r="K1784" s="18"/>
      <c r="L1784" s="18"/>
      <c r="M1784" s="18"/>
      <c r="N1784" s="18"/>
      <c r="O1784" s="18"/>
      <c r="P1784" s="18"/>
      <c r="Q1784" s="18"/>
    </row>
    <row r="1785" spans="6:17">
      <c r="F1785" s="18"/>
      <c r="G1785" s="18"/>
      <c r="H1785" s="18"/>
      <c r="I1785" s="18"/>
      <c r="J1785" s="18"/>
      <c r="K1785" s="18"/>
      <c r="L1785" s="18"/>
      <c r="M1785" s="18"/>
      <c r="N1785" s="18"/>
      <c r="O1785" s="18"/>
      <c r="P1785" s="18"/>
      <c r="Q1785" s="18"/>
    </row>
    <row r="1786" spans="6:17">
      <c r="F1786" s="18"/>
      <c r="G1786" s="18"/>
      <c r="H1786" s="18"/>
      <c r="I1786" s="18"/>
      <c r="J1786" s="18"/>
      <c r="K1786" s="18"/>
      <c r="L1786" s="18"/>
      <c r="M1786" s="18"/>
      <c r="N1786" s="18"/>
      <c r="O1786" s="18"/>
      <c r="P1786" s="18"/>
      <c r="Q1786" s="18"/>
    </row>
    <row r="1787" spans="6:17">
      <c r="F1787" s="18"/>
      <c r="G1787" s="18"/>
      <c r="H1787" s="18"/>
      <c r="I1787" s="18"/>
      <c r="J1787" s="18"/>
      <c r="K1787" s="18"/>
      <c r="L1787" s="18"/>
      <c r="M1787" s="18"/>
      <c r="N1787" s="18"/>
      <c r="O1787" s="18"/>
      <c r="P1787" s="18"/>
      <c r="Q1787" s="18"/>
    </row>
    <row r="1788" spans="6:17">
      <c r="F1788" s="18"/>
      <c r="G1788" s="18"/>
      <c r="H1788" s="18"/>
      <c r="I1788" s="18"/>
      <c r="J1788" s="18"/>
      <c r="K1788" s="18"/>
      <c r="L1788" s="18"/>
      <c r="M1788" s="18"/>
      <c r="N1788" s="18"/>
      <c r="O1788" s="18"/>
      <c r="P1788" s="18"/>
      <c r="Q1788" s="18"/>
    </row>
    <row r="1789" spans="6:17">
      <c r="F1789" s="18"/>
      <c r="G1789" s="18"/>
      <c r="H1789" s="18"/>
      <c r="I1789" s="18"/>
      <c r="J1789" s="18"/>
      <c r="K1789" s="18"/>
      <c r="L1789" s="18"/>
      <c r="M1789" s="18"/>
      <c r="N1789" s="18"/>
      <c r="O1789" s="18"/>
      <c r="P1789" s="18"/>
      <c r="Q1789" s="18"/>
    </row>
    <row r="1790" spans="6:17">
      <c r="F1790" s="18"/>
      <c r="G1790" s="18"/>
      <c r="H1790" s="18"/>
      <c r="I1790" s="18"/>
      <c r="J1790" s="18"/>
      <c r="K1790" s="18"/>
      <c r="L1790" s="18"/>
      <c r="M1790" s="18"/>
      <c r="N1790" s="18"/>
      <c r="O1790" s="18"/>
      <c r="P1790" s="18"/>
      <c r="Q1790" s="18"/>
    </row>
    <row r="1791" spans="6:17">
      <c r="F1791" s="18"/>
      <c r="G1791" s="18"/>
      <c r="H1791" s="18"/>
      <c r="I1791" s="18"/>
      <c r="J1791" s="18"/>
      <c r="K1791" s="18"/>
      <c r="L1791" s="18"/>
      <c r="M1791" s="18"/>
      <c r="N1791" s="18"/>
      <c r="O1791" s="18"/>
      <c r="P1791" s="18"/>
      <c r="Q1791" s="18"/>
    </row>
    <row r="1792" spans="6:17">
      <c r="F1792" s="18"/>
      <c r="G1792" s="18"/>
      <c r="H1792" s="18"/>
      <c r="I1792" s="18"/>
      <c r="J1792" s="18"/>
      <c r="K1792" s="18"/>
      <c r="L1792" s="18"/>
      <c r="M1792" s="18"/>
      <c r="N1792" s="18"/>
      <c r="O1792" s="18"/>
      <c r="P1792" s="18"/>
      <c r="Q1792" s="18"/>
    </row>
    <row r="1793" spans="6:17">
      <c r="F1793" s="18"/>
      <c r="G1793" s="18"/>
      <c r="H1793" s="18"/>
      <c r="I1793" s="18"/>
      <c r="J1793" s="18"/>
      <c r="K1793" s="18"/>
      <c r="L1793" s="18"/>
      <c r="M1793" s="18"/>
      <c r="N1793" s="18"/>
      <c r="O1793" s="18"/>
      <c r="P1793" s="18"/>
      <c r="Q1793" s="18"/>
    </row>
    <row r="1794" spans="6:17">
      <c r="F1794" s="18"/>
      <c r="G1794" s="18"/>
      <c r="H1794" s="18"/>
      <c r="I1794" s="18"/>
      <c r="J1794" s="18"/>
      <c r="K1794" s="18"/>
      <c r="L1794" s="18"/>
      <c r="M1794" s="18"/>
      <c r="N1794" s="18"/>
      <c r="O1794" s="18"/>
      <c r="P1794" s="18"/>
      <c r="Q1794" s="18"/>
    </row>
    <row r="1795" spans="6:17">
      <c r="F1795" s="18"/>
      <c r="G1795" s="18"/>
      <c r="H1795" s="18"/>
      <c r="I1795" s="18"/>
      <c r="J1795" s="18"/>
      <c r="K1795" s="18"/>
      <c r="L1795" s="18"/>
      <c r="M1795" s="18"/>
      <c r="N1795" s="18"/>
      <c r="O1795" s="18"/>
      <c r="P1795" s="18"/>
      <c r="Q1795" s="18"/>
    </row>
    <row r="1796" spans="6:17">
      <c r="F1796" s="18"/>
      <c r="G1796" s="18"/>
      <c r="H1796" s="18"/>
      <c r="I1796" s="18"/>
      <c r="J1796" s="18"/>
      <c r="K1796" s="18"/>
      <c r="L1796" s="18"/>
      <c r="M1796" s="18"/>
      <c r="N1796" s="18"/>
      <c r="O1796" s="18"/>
      <c r="P1796" s="18"/>
      <c r="Q1796" s="18"/>
    </row>
    <row r="1797" spans="6:17">
      <c r="F1797" s="18"/>
      <c r="G1797" s="18"/>
      <c r="H1797" s="18"/>
      <c r="I1797" s="18"/>
      <c r="J1797" s="18"/>
      <c r="K1797" s="18"/>
      <c r="L1797" s="18"/>
      <c r="M1797" s="18"/>
      <c r="N1797" s="18"/>
      <c r="O1797" s="18"/>
      <c r="P1797" s="18"/>
      <c r="Q1797" s="18"/>
    </row>
    <row r="1798" spans="6:17">
      <c r="F1798" s="18"/>
      <c r="G1798" s="18"/>
      <c r="H1798" s="18"/>
      <c r="I1798" s="18"/>
      <c r="J1798" s="18"/>
      <c r="K1798" s="18"/>
      <c r="L1798" s="18"/>
      <c r="M1798" s="18"/>
      <c r="N1798" s="18"/>
      <c r="O1798" s="18"/>
      <c r="P1798" s="18"/>
      <c r="Q1798" s="18"/>
    </row>
    <row r="1799" spans="6:17">
      <c r="F1799" s="18"/>
      <c r="G1799" s="18"/>
      <c r="H1799" s="18"/>
      <c r="I1799" s="18"/>
      <c r="J1799" s="18"/>
      <c r="K1799" s="18"/>
      <c r="L1799" s="18"/>
      <c r="M1799" s="18"/>
      <c r="N1799" s="18"/>
      <c r="O1799" s="18"/>
      <c r="P1799" s="18"/>
      <c r="Q1799" s="18"/>
    </row>
    <row r="1800" spans="6:17">
      <c r="F1800" s="18"/>
      <c r="G1800" s="18"/>
      <c r="H1800" s="18"/>
      <c r="I1800" s="18"/>
      <c r="J1800" s="18"/>
      <c r="K1800" s="18"/>
      <c r="L1800" s="18"/>
      <c r="M1800" s="18"/>
      <c r="N1800" s="18"/>
      <c r="O1800" s="18"/>
      <c r="P1800" s="18"/>
      <c r="Q1800" s="18"/>
    </row>
    <row r="1801" spans="6:17">
      <c r="F1801" s="18"/>
      <c r="G1801" s="18"/>
      <c r="H1801" s="18"/>
      <c r="I1801" s="18"/>
      <c r="J1801" s="18"/>
      <c r="K1801" s="18"/>
      <c r="L1801" s="18"/>
      <c r="M1801" s="18"/>
      <c r="N1801" s="18"/>
      <c r="O1801" s="18"/>
      <c r="P1801" s="18"/>
      <c r="Q1801" s="18"/>
    </row>
    <row r="1802" spans="6:17">
      <c r="F1802" s="18"/>
      <c r="G1802" s="18"/>
      <c r="H1802" s="18"/>
      <c r="I1802" s="18"/>
      <c r="J1802" s="18"/>
      <c r="K1802" s="18"/>
      <c r="L1802" s="18"/>
      <c r="M1802" s="18"/>
      <c r="N1802" s="18"/>
      <c r="O1802" s="18"/>
      <c r="P1802" s="18"/>
      <c r="Q1802" s="18"/>
    </row>
    <row r="1803" spans="6:17">
      <c r="F1803" s="18"/>
      <c r="G1803" s="18"/>
      <c r="H1803" s="18"/>
      <c r="I1803" s="18"/>
      <c r="J1803" s="18"/>
      <c r="K1803" s="18"/>
      <c r="L1803" s="18"/>
      <c r="M1803" s="18"/>
      <c r="N1803" s="18"/>
      <c r="O1803" s="18"/>
      <c r="P1803" s="18"/>
      <c r="Q1803" s="18"/>
    </row>
    <row r="1804" spans="6:17">
      <c r="F1804" s="18"/>
      <c r="G1804" s="18"/>
      <c r="H1804" s="18"/>
      <c r="I1804" s="18"/>
      <c r="J1804" s="18"/>
      <c r="K1804" s="18"/>
      <c r="L1804" s="18"/>
      <c r="M1804" s="18"/>
      <c r="N1804" s="18"/>
      <c r="O1804" s="18"/>
      <c r="P1804" s="18"/>
      <c r="Q1804" s="18"/>
    </row>
    <row r="1805" spans="6:17">
      <c r="F1805" s="18"/>
      <c r="G1805" s="18"/>
      <c r="H1805" s="18"/>
      <c r="I1805" s="18"/>
      <c r="J1805" s="18"/>
      <c r="K1805" s="18"/>
      <c r="L1805" s="18"/>
      <c r="M1805" s="18"/>
      <c r="N1805" s="18"/>
      <c r="O1805" s="18"/>
      <c r="P1805" s="18"/>
      <c r="Q1805" s="18"/>
    </row>
    <row r="1806" spans="6:17">
      <c r="F1806" s="18"/>
      <c r="G1806" s="18"/>
      <c r="H1806" s="18"/>
      <c r="I1806" s="18"/>
      <c r="J1806" s="18"/>
      <c r="K1806" s="18"/>
      <c r="L1806" s="18"/>
      <c r="M1806" s="18"/>
      <c r="N1806" s="18"/>
      <c r="O1806" s="18"/>
      <c r="P1806" s="18"/>
      <c r="Q1806" s="18"/>
    </row>
    <row r="1807" spans="6:17">
      <c r="F1807" s="18"/>
      <c r="G1807" s="18"/>
      <c r="H1807" s="18"/>
      <c r="I1807" s="18"/>
      <c r="J1807" s="18"/>
      <c r="K1807" s="18"/>
      <c r="L1807" s="18"/>
      <c r="M1807" s="18"/>
      <c r="N1807" s="18"/>
      <c r="O1807" s="18"/>
      <c r="P1807" s="18"/>
      <c r="Q1807" s="18"/>
    </row>
    <row r="1808" spans="6:17">
      <c r="F1808" s="18"/>
      <c r="G1808" s="18"/>
      <c r="H1808" s="18"/>
      <c r="I1808" s="18"/>
      <c r="J1808" s="18"/>
      <c r="K1808" s="18"/>
      <c r="L1808" s="18"/>
      <c r="M1808" s="18"/>
      <c r="N1808" s="18"/>
      <c r="O1808" s="18"/>
      <c r="P1808" s="18"/>
      <c r="Q1808" s="18"/>
    </row>
    <row r="1809" spans="6:17">
      <c r="F1809" s="18"/>
      <c r="G1809" s="18"/>
      <c r="H1809" s="18"/>
      <c r="I1809" s="18"/>
      <c r="J1809" s="18"/>
      <c r="K1809" s="18"/>
      <c r="L1809" s="18"/>
      <c r="M1809" s="18"/>
      <c r="N1809" s="18"/>
      <c r="O1809" s="18"/>
      <c r="P1809" s="18"/>
      <c r="Q1809" s="18"/>
    </row>
    <row r="1810" spans="6:17">
      <c r="F1810" s="18"/>
      <c r="G1810" s="18"/>
      <c r="H1810" s="18"/>
      <c r="I1810" s="18"/>
      <c r="J1810" s="18"/>
      <c r="K1810" s="18"/>
      <c r="L1810" s="18"/>
      <c r="M1810" s="18"/>
      <c r="N1810" s="18"/>
      <c r="O1810" s="18"/>
      <c r="P1810" s="18"/>
      <c r="Q1810" s="18"/>
    </row>
    <row r="1811" spans="6:17">
      <c r="F1811" s="18"/>
      <c r="G1811" s="18"/>
      <c r="H1811" s="18"/>
      <c r="I1811" s="18"/>
      <c r="J1811" s="18"/>
      <c r="K1811" s="18"/>
      <c r="L1811" s="18"/>
      <c r="M1811" s="18"/>
      <c r="N1811" s="18"/>
      <c r="O1811" s="18"/>
      <c r="P1811" s="18"/>
      <c r="Q1811" s="18"/>
    </row>
    <row r="1812" spans="6:17">
      <c r="F1812" s="18"/>
      <c r="G1812" s="18"/>
      <c r="H1812" s="18"/>
      <c r="I1812" s="18"/>
      <c r="J1812" s="18"/>
      <c r="K1812" s="18"/>
      <c r="L1812" s="18"/>
      <c r="M1812" s="18"/>
      <c r="N1812" s="18"/>
      <c r="O1812" s="18"/>
      <c r="P1812" s="18"/>
      <c r="Q1812" s="18"/>
    </row>
    <row r="1813" spans="6:17">
      <c r="F1813" s="18"/>
      <c r="G1813" s="18"/>
      <c r="H1813" s="18"/>
      <c r="I1813" s="18"/>
      <c r="J1813" s="18"/>
      <c r="K1813" s="18"/>
      <c r="L1813" s="18"/>
      <c r="M1813" s="18"/>
      <c r="N1813" s="18"/>
      <c r="O1813" s="18"/>
      <c r="P1813" s="18"/>
      <c r="Q1813" s="18"/>
    </row>
    <row r="1814" spans="6:17">
      <c r="F1814" s="18"/>
      <c r="G1814" s="18"/>
      <c r="H1814" s="18"/>
      <c r="I1814" s="18"/>
      <c r="J1814" s="18"/>
      <c r="K1814" s="18"/>
      <c r="L1814" s="18"/>
      <c r="M1814" s="18"/>
      <c r="N1814" s="18"/>
      <c r="O1814" s="18"/>
      <c r="P1814" s="18"/>
      <c r="Q1814" s="18"/>
    </row>
    <row r="1815" spans="6:17">
      <c r="F1815" s="18"/>
      <c r="G1815" s="18"/>
      <c r="H1815" s="18"/>
      <c r="I1815" s="18"/>
      <c r="J1815" s="18"/>
      <c r="K1815" s="18"/>
      <c r="L1815" s="18"/>
      <c r="M1815" s="18"/>
      <c r="N1815" s="18"/>
      <c r="O1815" s="18"/>
      <c r="P1815" s="18"/>
      <c r="Q1815" s="18"/>
    </row>
    <row r="1816" spans="6:17">
      <c r="F1816" s="18"/>
      <c r="G1816" s="18"/>
      <c r="H1816" s="18"/>
      <c r="I1816" s="18"/>
      <c r="J1816" s="18"/>
      <c r="K1816" s="18"/>
      <c r="L1816" s="18"/>
      <c r="M1816" s="18"/>
      <c r="N1816" s="18"/>
      <c r="O1816" s="18"/>
      <c r="P1816" s="18"/>
      <c r="Q1816" s="18"/>
    </row>
    <row r="1817" spans="6:17">
      <c r="F1817" s="18"/>
      <c r="G1817" s="18"/>
      <c r="H1817" s="18"/>
      <c r="I1817" s="18"/>
      <c r="J1817" s="18"/>
      <c r="K1817" s="18"/>
      <c r="L1817" s="18"/>
      <c r="M1817" s="18"/>
      <c r="N1817" s="18"/>
      <c r="O1817" s="18"/>
      <c r="P1817" s="18"/>
      <c r="Q1817" s="18"/>
    </row>
    <row r="1818" spans="6:17">
      <c r="F1818" s="18"/>
      <c r="G1818" s="18"/>
      <c r="H1818" s="18"/>
      <c r="I1818" s="18"/>
      <c r="J1818" s="18"/>
      <c r="K1818" s="18"/>
      <c r="L1818" s="18"/>
      <c r="M1818" s="18"/>
      <c r="N1818" s="18"/>
      <c r="O1818" s="18"/>
      <c r="P1818" s="18"/>
      <c r="Q1818" s="18"/>
    </row>
    <row r="1819" spans="6:17">
      <c r="F1819" s="18"/>
      <c r="G1819" s="18"/>
      <c r="H1819" s="18"/>
      <c r="I1819" s="18"/>
      <c r="J1819" s="18"/>
      <c r="K1819" s="18"/>
      <c r="L1819" s="18"/>
      <c r="M1819" s="18"/>
      <c r="N1819" s="18"/>
      <c r="O1819" s="18"/>
      <c r="P1819" s="18"/>
      <c r="Q1819" s="18"/>
    </row>
    <row r="1820" spans="6:17">
      <c r="F1820" s="18"/>
      <c r="G1820" s="18"/>
      <c r="H1820" s="18"/>
      <c r="I1820" s="18"/>
      <c r="J1820" s="18"/>
      <c r="K1820" s="18"/>
      <c r="L1820" s="18"/>
      <c r="M1820" s="18"/>
      <c r="N1820" s="18"/>
      <c r="O1820" s="18"/>
      <c r="P1820" s="18"/>
      <c r="Q1820" s="18"/>
    </row>
    <row r="1821" spans="6:17">
      <c r="F1821" s="18"/>
      <c r="G1821" s="18"/>
      <c r="H1821" s="18"/>
      <c r="I1821" s="18"/>
      <c r="J1821" s="18"/>
      <c r="K1821" s="18"/>
      <c r="L1821" s="18"/>
      <c r="M1821" s="18"/>
      <c r="N1821" s="18"/>
      <c r="O1821" s="18"/>
      <c r="P1821" s="18"/>
      <c r="Q1821" s="18"/>
    </row>
    <row r="1822" spans="6:17">
      <c r="F1822" s="18"/>
      <c r="G1822" s="18"/>
      <c r="H1822" s="18"/>
      <c r="I1822" s="18"/>
      <c r="J1822" s="18"/>
      <c r="K1822" s="18"/>
      <c r="L1822" s="18"/>
      <c r="M1822" s="18"/>
      <c r="N1822" s="18"/>
      <c r="O1822" s="18"/>
      <c r="P1822" s="18"/>
      <c r="Q1822" s="18"/>
    </row>
    <row r="1823" spans="6:17">
      <c r="F1823" s="18"/>
      <c r="G1823" s="18"/>
      <c r="H1823" s="18"/>
      <c r="I1823" s="18"/>
      <c r="J1823" s="18"/>
      <c r="K1823" s="18"/>
      <c r="L1823" s="18"/>
      <c r="M1823" s="18"/>
      <c r="N1823" s="18"/>
      <c r="O1823" s="18"/>
      <c r="P1823" s="18"/>
      <c r="Q1823" s="18"/>
    </row>
    <row r="1824" spans="6:17">
      <c r="F1824" s="18"/>
      <c r="G1824" s="18"/>
      <c r="H1824" s="18"/>
      <c r="I1824" s="18"/>
      <c r="J1824" s="18"/>
      <c r="K1824" s="18"/>
      <c r="L1824" s="18"/>
      <c r="M1824" s="18"/>
      <c r="N1824" s="18"/>
      <c r="O1824" s="18"/>
      <c r="P1824" s="18"/>
      <c r="Q1824" s="18"/>
    </row>
    <row r="1825" spans="6:17">
      <c r="F1825" s="18"/>
      <c r="G1825" s="18"/>
      <c r="H1825" s="18"/>
      <c r="I1825" s="18"/>
      <c r="J1825" s="18"/>
      <c r="K1825" s="18"/>
      <c r="L1825" s="18"/>
      <c r="M1825" s="18"/>
      <c r="N1825" s="18"/>
      <c r="O1825" s="18"/>
      <c r="P1825" s="18"/>
      <c r="Q1825" s="18"/>
    </row>
    <row r="1826" spans="6:17">
      <c r="F1826" s="18"/>
      <c r="G1826" s="18"/>
      <c r="H1826" s="18"/>
      <c r="I1826" s="18"/>
      <c r="J1826" s="18"/>
      <c r="K1826" s="18"/>
      <c r="L1826" s="18"/>
      <c r="M1826" s="18"/>
      <c r="N1826" s="18"/>
      <c r="O1826" s="18"/>
      <c r="P1826" s="18"/>
      <c r="Q1826" s="18"/>
    </row>
    <row r="1827" spans="6:17">
      <c r="F1827" s="18"/>
      <c r="G1827" s="18"/>
      <c r="H1827" s="18"/>
      <c r="I1827" s="18"/>
      <c r="J1827" s="18"/>
      <c r="K1827" s="18"/>
      <c r="L1827" s="18"/>
      <c r="M1827" s="18"/>
      <c r="N1827" s="18"/>
      <c r="O1827" s="18"/>
      <c r="P1827" s="18"/>
      <c r="Q1827" s="18"/>
    </row>
    <row r="1828" spans="6:17">
      <c r="F1828" s="18"/>
      <c r="G1828" s="18"/>
      <c r="H1828" s="18"/>
      <c r="I1828" s="18"/>
      <c r="J1828" s="18"/>
      <c r="K1828" s="18"/>
      <c r="L1828" s="18"/>
      <c r="M1828" s="18"/>
      <c r="N1828" s="18"/>
      <c r="O1828" s="18"/>
      <c r="P1828" s="18"/>
      <c r="Q1828" s="18"/>
    </row>
    <row r="1829" spans="6:17">
      <c r="F1829" s="18"/>
      <c r="G1829" s="18"/>
      <c r="H1829" s="18"/>
      <c r="I1829" s="18"/>
      <c r="J1829" s="18"/>
      <c r="K1829" s="18"/>
      <c r="L1829" s="18"/>
      <c r="M1829" s="18"/>
      <c r="N1829" s="18"/>
      <c r="O1829" s="18"/>
      <c r="P1829" s="18"/>
      <c r="Q1829" s="18"/>
    </row>
    <row r="1830" spans="6:17">
      <c r="F1830" s="18"/>
      <c r="G1830" s="18"/>
      <c r="H1830" s="18"/>
      <c r="I1830" s="18"/>
      <c r="J1830" s="18"/>
      <c r="K1830" s="18"/>
      <c r="L1830" s="18"/>
      <c r="M1830" s="18"/>
      <c r="N1830" s="18"/>
      <c r="O1830" s="18"/>
      <c r="P1830" s="18"/>
      <c r="Q1830" s="18"/>
    </row>
    <row r="1831" spans="6:17">
      <c r="F1831" s="18"/>
      <c r="G1831" s="18"/>
      <c r="H1831" s="18"/>
      <c r="I1831" s="18"/>
      <c r="J1831" s="18"/>
      <c r="K1831" s="18"/>
      <c r="L1831" s="18"/>
      <c r="M1831" s="18"/>
      <c r="N1831" s="18"/>
      <c r="O1831" s="18"/>
      <c r="P1831" s="18"/>
      <c r="Q1831" s="18"/>
    </row>
    <row r="1832" spans="6:17">
      <c r="F1832" s="18"/>
      <c r="G1832" s="18"/>
      <c r="H1832" s="18"/>
      <c r="I1832" s="18"/>
      <c r="J1832" s="18"/>
      <c r="K1832" s="18"/>
      <c r="L1832" s="18"/>
      <c r="M1832" s="18"/>
      <c r="N1832" s="18"/>
      <c r="O1832" s="18"/>
      <c r="P1832" s="18"/>
      <c r="Q1832" s="18"/>
    </row>
    <row r="1833" spans="6:17">
      <c r="F1833" s="18"/>
      <c r="G1833" s="18"/>
      <c r="H1833" s="18"/>
      <c r="I1833" s="18"/>
      <c r="J1833" s="18"/>
      <c r="K1833" s="18"/>
      <c r="L1833" s="18"/>
      <c r="M1833" s="18"/>
      <c r="N1833" s="18"/>
      <c r="O1833" s="18"/>
      <c r="P1833" s="18"/>
      <c r="Q1833" s="18"/>
    </row>
    <row r="1834" spans="6:17">
      <c r="F1834" s="18"/>
      <c r="G1834" s="18"/>
      <c r="H1834" s="18"/>
      <c r="I1834" s="18"/>
      <c r="J1834" s="18"/>
      <c r="K1834" s="18"/>
      <c r="L1834" s="18"/>
      <c r="M1834" s="18"/>
      <c r="N1834" s="18"/>
      <c r="O1834" s="18"/>
      <c r="P1834" s="18"/>
      <c r="Q1834" s="18"/>
    </row>
    <row r="1835" spans="6:17">
      <c r="F1835" s="18"/>
      <c r="G1835" s="18"/>
      <c r="H1835" s="18"/>
      <c r="I1835" s="18"/>
      <c r="J1835" s="18"/>
      <c r="K1835" s="18"/>
      <c r="L1835" s="18"/>
      <c r="M1835" s="18"/>
      <c r="N1835" s="18"/>
      <c r="O1835" s="18"/>
      <c r="P1835" s="18"/>
      <c r="Q1835" s="18"/>
    </row>
    <row r="1836" spans="6:17">
      <c r="F1836" s="18"/>
      <c r="G1836" s="18"/>
      <c r="H1836" s="18"/>
      <c r="I1836" s="18"/>
      <c r="J1836" s="18"/>
      <c r="K1836" s="18"/>
      <c r="L1836" s="18"/>
      <c r="M1836" s="18"/>
      <c r="N1836" s="18"/>
      <c r="O1836" s="18"/>
      <c r="P1836" s="18"/>
      <c r="Q1836" s="18"/>
    </row>
    <row r="1837" spans="6:17">
      <c r="F1837" s="18"/>
      <c r="G1837" s="18"/>
      <c r="H1837" s="18"/>
      <c r="I1837" s="18"/>
      <c r="J1837" s="18"/>
      <c r="K1837" s="18"/>
      <c r="L1837" s="18"/>
      <c r="M1837" s="18"/>
      <c r="N1837" s="18"/>
      <c r="O1837" s="18"/>
      <c r="P1837" s="18"/>
      <c r="Q1837" s="18"/>
    </row>
    <row r="1838" spans="6:17">
      <c r="F1838" s="18"/>
      <c r="G1838" s="18"/>
      <c r="H1838" s="18"/>
      <c r="I1838" s="18"/>
      <c r="J1838" s="18"/>
      <c r="K1838" s="18"/>
      <c r="L1838" s="18"/>
      <c r="M1838" s="18"/>
      <c r="N1838" s="18"/>
      <c r="O1838" s="18"/>
      <c r="P1838" s="18"/>
      <c r="Q1838" s="18"/>
    </row>
    <row r="1839" spans="6:17">
      <c r="F1839" s="18"/>
      <c r="G1839" s="18"/>
      <c r="H1839" s="18"/>
      <c r="I1839" s="18"/>
      <c r="J1839" s="18"/>
      <c r="K1839" s="18"/>
      <c r="L1839" s="18"/>
      <c r="M1839" s="18"/>
      <c r="N1839" s="18"/>
      <c r="O1839" s="18"/>
      <c r="P1839" s="18"/>
      <c r="Q1839" s="18"/>
    </row>
    <row r="1840" spans="6:17">
      <c r="F1840" s="18"/>
      <c r="G1840" s="18"/>
      <c r="H1840" s="18"/>
      <c r="I1840" s="18"/>
      <c r="J1840" s="18"/>
      <c r="K1840" s="18"/>
      <c r="L1840" s="18"/>
      <c r="M1840" s="18"/>
      <c r="N1840" s="18"/>
      <c r="O1840" s="18"/>
      <c r="P1840" s="18"/>
      <c r="Q1840" s="18"/>
    </row>
    <row r="1841" spans="6:17">
      <c r="F1841" s="18"/>
      <c r="G1841" s="18"/>
      <c r="H1841" s="18"/>
      <c r="I1841" s="18"/>
      <c r="J1841" s="18"/>
      <c r="K1841" s="18"/>
      <c r="L1841" s="18"/>
      <c r="M1841" s="18"/>
      <c r="N1841" s="18"/>
      <c r="O1841" s="18"/>
      <c r="P1841" s="18"/>
      <c r="Q1841" s="18"/>
    </row>
    <row r="1842" spans="6:17">
      <c r="F1842" s="18"/>
      <c r="G1842" s="18"/>
      <c r="H1842" s="18"/>
      <c r="I1842" s="18"/>
      <c r="J1842" s="18"/>
      <c r="K1842" s="18"/>
      <c r="L1842" s="18"/>
      <c r="M1842" s="18"/>
      <c r="N1842" s="18"/>
      <c r="O1842" s="18"/>
      <c r="P1842" s="18"/>
      <c r="Q1842" s="18"/>
    </row>
    <row r="1843" spans="6:17">
      <c r="F1843" s="18"/>
      <c r="G1843" s="18"/>
      <c r="H1843" s="18"/>
      <c r="I1843" s="18"/>
      <c r="J1843" s="18"/>
      <c r="K1843" s="18"/>
      <c r="L1843" s="18"/>
      <c r="M1843" s="18"/>
      <c r="N1843" s="18"/>
      <c r="O1843" s="18"/>
      <c r="P1843" s="18"/>
      <c r="Q1843" s="18"/>
    </row>
    <row r="1844" spans="6:17">
      <c r="F1844" s="18"/>
      <c r="G1844" s="18"/>
      <c r="H1844" s="18"/>
      <c r="I1844" s="18"/>
      <c r="J1844" s="18"/>
      <c r="K1844" s="18"/>
      <c r="L1844" s="18"/>
      <c r="M1844" s="18"/>
      <c r="N1844" s="18"/>
      <c r="O1844" s="18"/>
      <c r="P1844" s="18"/>
      <c r="Q1844" s="18"/>
    </row>
    <row r="1845" spans="6:17">
      <c r="F1845" s="18"/>
      <c r="G1845" s="18"/>
      <c r="H1845" s="18"/>
      <c r="I1845" s="18"/>
      <c r="J1845" s="18"/>
      <c r="K1845" s="18"/>
      <c r="L1845" s="18"/>
      <c r="M1845" s="18"/>
      <c r="N1845" s="18"/>
      <c r="O1845" s="18"/>
      <c r="P1845" s="18"/>
      <c r="Q1845" s="18"/>
    </row>
    <row r="1846" spans="6:17">
      <c r="F1846" s="18"/>
      <c r="G1846" s="18"/>
      <c r="H1846" s="18"/>
      <c r="I1846" s="18"/>
      <c r="J1846" s="18"/>
      <c r="K1846" s="18"/>
      <c r="L1846" s="18"/>
      <c r="M1846" s="18"/>
      <c r="N1846" s="18"/>
      <c r="O1846" s="18"/>
      <c r="P1846" s="18"/>
      <c r="Q1846" s="18"/>
    </row>
    <row r="1847" spans="6:17">
      <c r="F1847" s="18"/>
      <c r="G1847" s="18"/>
      <c r="H1847" s="18"/>
      <c r="I1847" s="18"/>
      <c r="J1847" s="18"/>
      <c r="K1847" s="18"/>
      <c r="L1847" s="18"/>
      <c r="M1847" s="18"/>
      <c r="N1847" s="18"/>
      <c r="O1847" s="18"/>
      <c r="P1847" s="18"/>
      <c r="Q1847" s="18"/>
    </row>
    <row r="1848" spans="6:17">
      <c r="F1848" s="18"/>
      <c r="G1848" s="18"/>
      <c r="H1848" s="18"/>
      <c r="I1848" s="18"/>
      <c r="J1848" s="18"/>
      <c r="K1848" s="18"/>
      <c r="L1848" s="18"/>
      <c r="M1848" s="18"/>
      <c r="N1848" s="18"/>
      <c r="O1848" s="18"/>
      <c r="P1848" s="18"/>
      <c r="Q1848" s="18"/>
    </row>
    <row r="1849" spans="6:17">
      <c r="F1849" s="18"/>
      <c r="G1849" s="18"/>
      <c r="H1849" s="18"/>
      <c r="I1849" s="18"/>
      <c r="J1849" s="18"/>
      <c r="K1849" s="18"/>
      <c r="L1849" s="18"/>
      <c r="M1849" s="18"/>
      <c r="N1849" s="18"/>
      <c r="O1849" s="18"/>
      <c r="P1849" s="18"/>
      <c r="Q1849" s="18"/>
    </row>
    <row r="1850" spans="6:17">
      <c r="F1850" s="18"/>
      <c r="G1850" s="18"/>
      <c r="H1850" s="18"/>
      <c r="I1850" s="18"/>
      <c r="J1850" s="18"/>
      <c r="K1850" s="18"/>
      <c r="L1850" s="18"/>
      <c r="M1850" s="18"/>
      <c r="N1850" s="18"/>
      <c r="O1850" s="18"/>
      <c r="P1850" s="18"/>
      <c r="Q1850" s="18"/>
    </row>
    <row r="1851" spans="6:17">
      <c r="F1851" s="18"/>
      <c r="G1851" s="18"/>
      <c r="H1851" s="18"/>
      <c r="I1851" s="18"/>
      <c r="J1851" s="18"/>
      <c r="K1851" s="18"/>
      <c r="L1851" s="18"/>
      <c r="M1851" s="18"/>
      <c r="N1851" s="18"/>
      <c r="O1851" s="18"/>
      <c r="P1851" s="18"/>
      <c r="Q1851" s="18"/>
    </row>
    <row r="1852" spans="6:17">
      <c r="F1852" s="18"/>
      <c r="G1852" s="18"/>
      <c r="H1852" s="18"/>
      <c r="I1852" s="18"/>
      <c r="J1852" s="18"/>
      <c r="K1852" s="18"/>
      <c r="L1852" s="18"/>
      <c r="M1852" s="18"/>
      <c r="N1852" s="18"/>
      <c r="O1852" s="18"/>
      <c r="P1852" s="18"/>
      <c r="Q1852" s="18"/>
    </row>
    <row r="1853" spans="6:17">
      <c r="F1853" s="18"/>
      <c r="G1853" s="18"/>
      <c r="H1853" s="18"/>
      <c r="I1853" s="18"/>
      <c r="J1853" s="18"/>
      <c r="K1853" s="18"/>
      <c r="L1853" s="18"/>
      <c r="M1853" s="18"/>
      <c r="N1853" s="18"/>
      <c r="O1853" s="18"/>
      <c r="P1853" s="18"/>
      <c r="Q1853" s="18"/>
    </row>
    <row r="1854" spans="6:17">
      <c r="F1854" s="18"/>
      <c r="G1854" s="18"/>
      <c r="H1854" s="18"/>
      <c r="I1854" s="18"/>
      <c r="J1854" s="18"/>
      <c r="K1854" s="18"/>
      <c r="L1854" s="18"/>
      <c r="M1854" s="18"/>
      <c r="N1854" s="18"/>
      <c r="O1854" s="18"/>
      <c r="P1854" s="18"/>
      <c r="Q1854" s="18"/>
    </row>
    <row r="1855" spans="6:17">
      <c r="F1855" s="18"/>
      <c r="G1855" s="18"/>
      <c r="H1855" s="18"/>
      <c r="I1855" s="18"/>
      <c r="J1855" s="18"/>
      <c r="K1855" s="18"/>
      <c r="L1855" s="18"/>
      <c r="M1855" s="18"/>
      <c r="N1855" s="18"/>
      <c r="O1855" s="18"/>
      <c r="P1855" s="18"/>
      <c r="Q1855" s="18"/>
    </row>
    <row r="1856" spans="6:17">
      <c r="F1856" s="18"/>
      <c r="G1856" s="18"/>
      <c r="H1856" s="18"/>
      <c r="I1856" s="18"/>
      <c r="J1856" s="18"/>
      <c r="K1856" s="18"/>
      <c r="L1856" s="18"/>
      <c r="M1856" s="18"/>
      <c r="N1856" s="18"/>
      <c r="O1856" s="18"/>
      <c r="P1856" s="18"/>
      <c r="Q1856" s="18"/>
    </row>
    <row r="1857" spans="6:17">
      <c r="F1857" s="18"/>
      <c r="G1857" s="18"/>
      <c r="H1857" s="18"/>
      <c r="I1857" s="18"/>
      <c r="J1857" s="18"/>
      <c r="K1857" s="18"/>
      <c r="L1857" s="18"/>
      <c r="M1857" s="18"/>
      <c r="N1857" s="18"/>
      <c r="O1857" s="18"/>
      <c r="P1857" s="18"/>
      <c r="Q1857" s="18"/>
    </row>
    <row r="1858" spans="6:17">
      <c r="F1858" s="18"/>
      <c r="G1858" s="18"/>
      <c r="H1858" s="18"/>
      <c r="I1858" s="18"/>
      <c r="J1858" s="18"/>
      <c r="K1858" s="18"/>
      <c r="L1858" s="18"/>
      <c r="M1858" s="18"/>
      <c r="N1858" s="18"/>
      <c r="O1858" s="18"/>
      <c r="P1858" s="18"/>
      <c r="Q1858" s="18"/>
    </row>
    <row r="1859" spans="6:17">
      <c r="F1859" s="18"/>
      <c r="G1859" s="18"/>
      <c r="H1859" s="18"/>
      <c r="I1859" s="18"/>
      <c r="J1859" s="18"/>
      <c r="K1859" s="18"/>
      <c r="L1859" s="18"/>
      <c r="M1859" s="18"/>
      <c r="N1859" s="18"/>
      <c r="O1859" s="18"/>
      <c r="P1859" s="18"/>
      <c r="Q1859" s="18"/>
    </row>
    <row r="1860" spans="6:17">
      <c r="F1860" s="18"/>
      <c r="G1860" s="18"/>
      <c r="H1860" s="18"/>
      <c r="I1860" s="18"/>
      <c r="J1860" s="18"/>
      <c r="K1860" s="18"/>
      <c r="L1860" s="18"/>
      <c r="M1860" s="18"/>
      <c r="N1860" s="18"/>
      <c r="O1860" s="18"/>
      <c r="P1860" s="18"/>
      <c r="Q1860" s="18"/>
    </row>
    <row r="1861" spans="6:17">
      <c r="F1861" s="18"/>
      <c r="G1861" s="18"/>
      <c r="H1861" s="18"/>
      <c r="I1861" s="18"/>
      <c r="J1861" s="18"/>
      <c r="K1861" s="18"/>
      <c r="L1861" s="18"/>
      <c r="M1861" s="18"/>
      <c r="N1861" s="18"/>
      <c r="O1861" s="18"/>
      <c r="P1861" s="18"/>
      <c r="Q1861" s="18"/>
    </row>
    <row r="1862" spans="6:17">
      <c r="F1862" s="18"/>
      <c r="G1862" s="18"/>
      <c r="H1862" s="18"/>
      <c r="I1862" s="18"/>
      <c r="J1862" s="18"/>
      <c r="K1862" s="18"/>
      <c r="L1862" s="18"/>
      <c r="M1862" s="18"/>
      <c r="N1862" s="18"/>
      <c r="O1862" s="18"/>
      <c r="P1862" s="18"/>
      <c r="Q1862" s="18"/>
    </row>
    <row r="1863" spans="6:17">
      <c r="F1863" s="18"/>
      <c r="G1863" s="18"/>
      <c r="H1863" s="18"/>
      <c r="I1863" s="18"/>
      <c r="J1863" s="18"/>
      <c r="K1863" s="18"/>
      <c r="L1863" s="18"/>
      <c r="M1863" s="18"/>
      <c r="N1863" s="18"/>
      <c r="O1863" s="18"/>
      <c r="P1863" s="18"/>
      <c r="Q1863" s="18"/>
    </row>
    <row r="1864" spans="6:17">
      <c r="F1864" s="18"/>
      <c r="G1864" s="18"/>
      <c r="H1864" s="18"/>
      <c r="I1864" s="18"/>
      <c r="J1864" s="18"/>
      <c r="K1864" s="18"/>
      <c r="L1864" s="18"/>
      <c r="M1864" s="18"/>
      <c r="N1864" s="18"/>
      <c r="O1864" s="18"/>
      <c r="P1864" s="18"/>
      <c r="Q1864" s="18"/>
    </row>
    <row r="1865" spans="6:17">
      <c r="F1865" s="18"/>
      <c r="G1865" s="18"/>
      <c r="H1865" s="18"/>
      <c r="I1865" s="18"/>
      <c r="J1865" s="18"/>
      <c r="K1865" s="18"/>
      <c r="L1865" s="18"/>
      <c r="M1865" s="18"/>
      <c r="N1865" s="18"/>
      <c r="O1865" s="18"/>
      <c r="P1865" s="18"/>
      <c r="Q1865" s="18"/>
    </row>
    <row r="1866" spans="6:17">
      <c r="F1866" s="18"/>
      <c r="G1866" s="18"/>
      <c r="H1866" s="18"/>
      <c r="I1866" s="18"/>
      <c r="J1866" s="18"/>
      <c r="K1866" s="18"/>
      <c r="L1866" s="18"/>
      <c r="M1866" s="18"/>
      <c r="N1866" s="18"/>
      <c r="O1866" s="18"/>
      <c r="P1866" s="18"/>
      <c r="Q1866" s="18"/>
    </row>
    <row r="1867" spans="6:17">
      <c r="F1867" s="18"/>
      <c r="G1867" s="18"/>
      <c r="H1867" s="18"/>
      <c r="I1867" s="18"/>
      <c r="J1867" s="18"/>
      <c r="K1867" s="18"/>
      <c r="L1867" s="18"/>
      <c r="M1867" s="18"/>
      <c r="N1867" s="18"/>
      <c r="O1867" s="18"/>
      <c r="P1867" s="18"/>
      <c r="Q1867" s="18"/>
    </row>
    <row r="1868" spans="6:17">
      <c r="F1868" s="18"/>
      <c r="G1868" s="18"/>
      <c r="H1868" s="18"/>
      <c r="I1868" s="18"/>
      <c r="J1868" s="18"/>
      <c r="K1868" s="18"/>
      <c r="L1868" s="18"/>
      <c r="M1868" s="18"/>
      <c r="N1868" s="18"/>
      <c r="O1868" s="18"/>
      <c r="P1868" s="18"/>
      <c r="Q1868" s="18"/>
    </row>
    <row r="1869" spans="6:17">
      <c r="F1869" s="18"/>
      <c r="G1869" s="18"/>
      <c r="H1869" s="18"/>
      <c r="I1869" s="18"/>
      <c r="J1869" s="18"/>
      <c r="K1869" s="18"/>
      <c r="L1869" s="18"/>
      <c r="M1869" s="18"/>
      <c r="N1869" s="18"/>
      <c r="O1869" s="18"/>
      <c r="P1869" s="18"/>
      <c r="Q1869" s="18"/>
    </row>
    <row r="1870" spans="6:17">
      <c r="F1870" s="18"/>
      <c r="G1870" s="18"/>
      <c r="H1870" s="18"/>
      <c r="I1870" s="18"/>
      <c r="J1870" s="18"/>
      <c r="K1870" s="18"/>
      <c r="L1870" s="18"/>
      <c r="M1870" s="18"/>
      <c r="N1870" s="18"/>
      <c r="O1870" s="18"/>
      <c r="P1870" s="18"/>
      <c r="Q1870" s="18"/>
    </row>
    <row r="1871" spans="6:17">
      <c r="F1871" s="18"/>
      <c r="G1871" s="18"/>
      <c r="H1871" s="18"/>
      <c r="I1871" s="18"/>
      <c r="J1871" s="18"/>
      <c r="K1871" s="18"/>
      <c r="L1871" s="18"/>
      <c r="M1871" s="18"/>
      <c r="N1871" s="18"/>
      <c r="O1871" s="18"/>
      <c r="P1871" s="18"/>
      <c r="Q1871" s="18"/>
    </row>
    <row r="1872" spans="6:17">
      <c r="F1872" s="18"/>
      <c r="G1872" s="18"/>
      <c r="H1872" s="18"/>
      <c r="I1872" s="18"/>
      <c r="J1872" s="18"/>
      <c r="K1872" s="18"/>
      <c r="L1872" s="18"/>
      <c r="M1872" s="18"/>
      <c r="N1872" s="18"/>
      <c r="O1872" s="18"/>
      <c r="P1872" s="18"/>
      <c r="Q1872" s="18"/>
    </row>
    <row r="1873" spans="6:17">
      <c r="F1873" s="18"/>
      <c r="G1873" s="18"/>
      <c r="H1873" s="18"/>
      <c r="I1873" s="18"/>
      <c r="J1873" s="18"/>
      <c r="K1873" s="18"/>
      <c r="L1873" s="18"/>
      <c r="M1873" s="18"/>
      <c r="N1873" s="18"/>
      <c r="O1873" s="18"/>
      <c r="P1873" s="18"/>
      <c r="Q1873" s="18"/>
    </row>
    <row r="1874" spans="6:17">
      <c r="F1874" s="18"/>
      <c r="G1874" s="18"/>
      <c r="H1874" s="18"/>
      <c r="I1874" s="18"/>
      <c r="J1874" s="18"/>
      <c r="K1874" s="18"/>
      <c r="L1874" s="18"/>
      <c r="M1874" s="18"/>
      <c r="N1874" s="18"/>
      <c r="O1874" s="18"/>
      <c r="P1874" s="18"/>
      <c r="Q1874" s="18"/>
    </row>
    <row r="1875" spans="6:17">
      <c r="F1875" s="18"/>
      <c r="G1875" s="18"/>
      <c r="H1875" s="18"/>
      <c r="I1875" s="18"/>
      <c r="J1875" s="18"/>
      <c r="K1875" s="18"/>
      <c r="L1875" s="18"/>
      <c r="M1875" s="18"/>
      <c r="N1875" s="18"/>
      <c r="O1875" s="18"/>
      <c r="P1875" s="18"/>
      <c r="Q1875" s="18"/>
    </row>
    <row r="1876" spans="6:17">
      <c r="F1876" s="18"/>
      <c r="G1876" s="18"/>
      <c r="H1876" s="18"/>
      <c r="I1876" s="18"/>
      <c r="J1876" s="18"/>
      <c r="K1876" s="18"/>
      <c r="L1876" s="18"/>
      <c r="M1876" s="18"/>
      <c r="N1876" s="18"/>
      <c r="O1876" s="18"/>
      <c r="P1876" s="18"/>
      <c r="Q1876" s="18"/>
    </row>
    <row r="1877" spans="6:17">
      <c r="F1877" s="18"/>
      <c r="G1877" s="18"/>
      <c r="H1877" s="18"/>
      <c r="I1877" s="18"/>
      <c r="J1877" s="18"/>
      <c r="K1877" s="18"/>
      <c r="L1877" s="18"/>
      <c r="M1877" s="18"/>
      <c r="N1877" s="18"/>
      <c r="O1877" s="18"/>
      <c r="P1877" s="18"/>
      <c r="Q1877" s="18"/>
    </row>
    <row r="1878" spans="6:17">
      <c r="F1878" s="18"/>
      <c r="G1878" s="18"/>
      <c r="H1878" s="18"/>
      <c r="I1878" s="18"/>
      <c r="J1878" s="18"/>
      <c r="K1878" s="18"/>
      <c r="L1878" s="18"/>
      <c r="M1878" s="18"/>
      <c r="N1878" s="18"/>
      <c r="O1878" s="18"/>
      <c r="P1878" s="18"/>
      <c r="Q1878" s="18"/>
    </row>
    <row r="1879" spans="6:17">
      <c r="F1879" s="18"/>
      <c r="G1879" s="18"/>
      <c r="H1879" s="18"/>
      <c r="I1879" s="18"/>
      <c r="J1879" s="18"/>
      <c r="K1879" s="18"/>
      <c r="L1879" s="18"/>
      <c r="M1879" s="18"/>
      <c r="N1879" s="18"/>
      <c r="O1879" s="18"/>
      <c r="P1879" s="18"/>
      <c r="Q1879" s="18"/>
    </row>
    <row r="1880" spans="6:17">
      <c r="F1880" s="18"/>
      <c r="G1880" s="18"/>
      <c r="H1880" s="18"/>
      <c r="I1880" s="18"/>
      <c r="J1880" s="18"/>
      <c r="K1880" s="18"/>
      <c r="L1880" s="18"/>
      <c r="M1880" s="18"/>
      <c r="N1880" s="18"/>
      <c r="O1880" s="18"/>
      <c r="P1880" s="18"/>
      <c r="Q1880" s="18"/>
    </row>
    <row r="1881" spans="6:17">
      <c r="F1881" s="18"/>
      <c r="G1881" s="18"/>
      <c r="H1881" s="18"/>
      <c r="I1881" s="18"/>
      <c r="J1881" s="18"/>
      <c r="K1881" s="18"/>
      <c r="L1881" s="18"/>
      <c r="M1881" s="18"/>
      <c r="N1881" s="18"/>
      <c r="O1881" s="18"/>
      <c r="P1881" s="18"/>
      <c r="Q1881" s="18"/>
    </row>
    <row r="1882" spans="6:17">
      <c r="F1882" s="18"/>
      <c r="G1882" s="18"/>
      <c r="H1882" s="18"/>
      <c r="I1882" s="18"/>
      <c r="J1882" s="18"/>
      <c r="K1882" s="18"/>
      <c r="L1882" s="18"/>
      <c r="M1882" s="18"/>
      <c r="N1882" s="18"/>
      <c r="O1882" s="18"/>
      <c r="P1882" s="18"/>
      <c r="Q1882" s="18"/>
    </row>
    <row r="1883" spans="6:17">
      <c r="F1883" s="18"/>
      <c r="G1883" s="18"/>
      <c r="H1883" s="18"/>
      <c r="I1883" s="18"/>
      <c r="J1883" s="18"/>
      <c r="K1883" s="18"/>
      <c r="L1883" s="18"/>
      <c r="M1883" s="18"/>
      <c r="N1883" s="18"/>
      <c r="O1883" s="18"/>
      <c r="P1883" s="18"/>
      <c r="Q1883" s="18"/>
    </row>
    <row r="1884" spans="6:17">
      <c r="F1884" s="18"/>
      <c r="G1884" s="18"/>
      <c r="H1884" s="18"/>
      <c r="I1884" s="18"/>
      <c r="J1884" s="18"/>
      <c r="K1884" s="18"/>
      <c r="L1884" s="18"/>
      <c r="M1884" s="18"/>
      <c r="N1884" s="18"/>
      <c r="O1884" s="18"/>
      <c r="P1884" s="18"/>
      <c r="Q1884" s="18"/>
    </row>
    <row r="1885" spans="6:17">
      <c r="F1885" s="18"/>
      <c r="G1885" s="18"/>
      <c r="H1885" s="18"/>
      <c r="I1885" s="18"/>
      <c r="J1885" s="18"/>
      <c r="K1885" s="18"/>
      <c r="L1885" s="18"/>
      <c r="M1885" s="18"/>
      <c r="N1885" s="18"/>
      <c r="O1885" s="18"/>
      <c r="P1885" s="18"/>
      <c r="Q1885" s="18"/>
    </row>
    <row r="1886" spans="6:17">
      <c r="F1886" s="18"/>
      <c r="G1886" s="18"/>
      <c r="H1886" s="18"/>
      <c r="I1886" s="18"/>
      <c r="J1886" s="18"/>
      <c r="K1886" s="18"/>
      <c r="L1886" s="18"/>
      <c r="M1886" s="18"/>
      <c r="N1886" s="18"/>
      <c r="O1886" s="18"/>
      <c r="P1886" s="18"/>
      <c r="Q1886" s="18"/>
    </row>
    <row r="1887" spans="6:17">
      <c r="F1887" s="18"/>
      <c r="G1887" s="18"/>
      <c r="H1887" s="18"/>
      <c r="I1887" s="18"/>
      <c r="J1887" s="18"/>
      <c r="K1887" s="18"/>
      <c r="L1887" s="18"/>
      <c r="M1887" s="18"/>
      <c r="N1887" s="18"/>
      <c r="O1887" s="18"/>
      <c r="P1887" s="18"/>
      <c r="Q1887" s="18"/>
    </row>
    <row r="1888" spans="6:17">
      <c r="F1888" s="18"/>
      <c r="G1888" s="18"/>
      <c r="H1888" s="18"/>
      <c r="I1888" s="18"/>
      <c r="J1888" s="18"/>
      <c r="K1888" s="18"/>
      <c r="L1888" s="18"/>
      <c r="M1888" s="18"/>
      <c r="N1888" s="18"/>
      <c r="O1888" s="18"/>
      <c r="P1888" s="18"/>
      <c r="Q1888" s="18"/>
    </row>
    <row r="1889" spans="6:17">
      <c r="F1889" s="18"/>
      <c r="G1889" s="18"/>
      <c r="H1889" s="18"/>
      <c r="I1889" s="18"/>
      <c r="J1889" s="18"/>
      <c r="K1889" s="18"/>
      <c r="L1889" s="18"/>
      <c r="M1889" s="18"/>
      <c r="N1889" s="18"/>
      <c r="O1889" s="18"/>
      <c r="P1889" s="18"/>
      <c r="Q1889" s="18"/>
    </row>
    <row r="1890" spans="6:17">
      <c r="F1890" s="18"/>
      <c r="G1890" s="18"/>
      <c r="H1890" s="18"/>
      <c r="I1890" s="18"/>
      <c r="J1890" s="18"/>
      <c r="K1890" s="18"/>
      <c r="L1890" s="18"/>
      <c r="M1890" s="18"/>
      <c r="N1890" s="18"/>
      <c r="O1890" s="18"/>
      <c r="P1890" s="18"/>
      <c r="Q1890" s="18"/>
    </row>
    <row r="1891" spans="6:17">
      <c r="F1891" s="18"/>
      <c r="G1891" s="18"/>
      <c r="H1891" s="18"/>
      <c r="I1891" s="18"/>
      <c r="J1891" s="18"/>
      <c r="K1891" s="18"/>
      <c r="L1891" s="18"/>
      <c r="M1891" s="18"/>
      <c r="N1891" s="18"/>
      <c r="O1891" s="18"/>
      <c r="P1891" s="18"/>
      <c r="Q1891" s="18"/>
    </row>
    <row r="1892" spans="6:17">
      <c r="F1892" s="18"/>
      <c r="G1892" s="18"/>
      <c r="H1892" s="18"/>
      <c r="I1892" s="18"/>
      <c r="J1892" s="18"/>
      <c r="K1892" s="18"/>
      <c r="L1892" s="18"/>
      <c r="M1892" s="18"/>
      <c r="N1892" s="18"/>
      <c r="O1892" s="18"/>
      <c r="P1892" s="18"/>
      <c r="Q1892" s="18"/>
    </row>
    <row r="1893" spans="6:17">
      <c r="F1893" s="18"/>
      <c r="G1893" s="18"/>
      <c r="H1893" s="18"/>
      <c r="I1893" s="18"/>
      <c r="J1893" s="18"/>
      <c r="K1893" s="18"/>
      <c r="L1893" s="18"/>
      <c r="M1893" s="18"/>
      <c r="N1893" s="18"/>
      <c r="O1893" s="18"/>
      <c r="P1893" s="18"/>
      <c r="Q1893" s="18"/>
    </row>
    <row r="1894" spans="6:17">
      <c r="F1894" s="18"/>
      <c r="G1894" s="18"/>
      <c r="H1894" s="18"/>
      <c r="I1894" s="18"/>
      <c r="J1894" s="18"/>
      <c r="K1894" s="18"/>
      <c r="L1894" s="18"/>
      <c r="M1894" s="18"/>
      <c r="N1894" s="18"/>
      <c r="O1894" s="18"/>
      <c r="P1894" s="18"/>
      <c r="Q1894" s="18"/>
    </row>
    <row r="1895" spans="6:17">
      <c r="F1895" s="18"/>
      <c r="G1895" s="18"/>
      <c r="H1895" s="18"/>
      <c r="I1895" s="18"/>
      <c r="J1895" s="18"/>
      <c r="K1895" s="18"/>
      <c r="L1895" s="18"/>
      <c r="M1895" s="18"/>
      <c r="N1895" s="18"/>
      <c r="O1895" s="18"/>
      <c r="P1895" s="18"/>
      <c r="Q1895" s="18"/>
    </row>
    <row r="1896" spans="6:17">
      <c r="F1896" s="18"/>
      <c r="G1896" s="18"/>
      <c r="H1896" s="18"/>
      <c r="I1896" s="18"/>
      <c r="J1896" s="18"/>
      <c r="K1896" s="18"/>
      <c r="L1896" s="18"/>
      <c r="M1896" s="18"/>
      <c r="N1896" s="18"/>
      <c r="O1896" s="18"/>
      <c r="P1896" s="18"/>
      <c r="Q1896" s="18"/>
    </row>
    <row r="1897" spans="6:17">
      <c r="F1897" s="18"/>
      <c r="G1897" s="18"/>
      <c r="H1897" s="18"/>
      <c r="I1897" s="18"/>
      <c r="J1897" s="18"/>
      <c r="K1897" s="18"/>
      <c r="L1897" s="18"/>
      <c r="M1897" s="18"/>
      <c r="N1897" s="18"/>
      <c r="O1897" s="18"/>
      <c r="P1897" s="18"/>
      <c r="Q1897" s="18"/>
    </row>
    <row r="1898" spans="6:17">
      <c r="F1898" s="18"/>
      <c r="G1898" s="18"/>
      <c r="H1898" s="18"/>
      <c r="I1898" s="18"/>
      <c r="J1898" s="18"/>
      <c r="K1898" s="18"/>
      <c r="L1898" s="18"/>
      <c r="M1898" s="18"/>
      <c r="N1898" s="18"/>
      <c r="O1898" s="18"/>
      <c r="P1898" s="18"/>
      <c r="Q1898" s="18"/>
    </row>
    <row r="1899" spans="6:17">
      <c r="F1899" s="18"/>
      <c r="G1899" s="18"/>
      <c r="H1899" s="18"/>
      <c r="I1899" s="18"/>
      <c r="J1899" s="18"/>
      <c r="K1899" s="18"/>
      <c r="L1899" s="18"/>
      <c r="M1899" s="18"/>
      <c r="N1899" s="18"/>
      <c r="O1899" s="18"/>
      <c r="P1899" s="18"/>
      <c r="Q1899" s="18"/>
    </row>
    <row r="1900" spans="6:17">
      <c r="F1900" s="18"/>
      <c r="G1900" s="18"/>
      <c r="H1900" s="18"/>
      <c r="I1900" s="18"/>
      <c r="J1900" s="18"/>
      <c r="K1900" s="18"/>
      <c r="L1900" s="18"/>
      <c r="M1900" s="18"/>
      <c r="N1900" s="18"/>
      <c r="O1900" s="18"/>
      <c r="P1900" s="18"/>
      <c r="Q1900" s="18"/>
    </row>
    <row r="1901" spans="6:17">
      <c r="F1901" s="18"/>
      <c r="G1901" s="18"/>
      <c r="H1901" s="18"/>
      <c r="I1901" s="18"/>
      <c r="J1901" s="18"/>
      <c r="K1901" s="18"/>
      <c r="L1901" s="18"/>
      <c r="M1901" s="18"/>
      <c r="N1901" s="18"/>
      <c r="O1901" s="18"/>
      <c r="P1901" s="18"/>
      <c r="Q1901" s="18"/>
    </row>
    <row r="1902" spans="6:17">
      <c r="F1902" s="18"/>
      <c r="G1902" s="18"/>
      <c r="H1902" s="18"/>
      <c r="I1902" s="18"/>
      <c r="J1902" s="18"/>
      <c r="K1902" s="18"/>
      <c r="L1902" s="18"/>
      <c r="M1902" s="18"/>
      <c r="N1902" s="18"/>
      <c r="O1902" s="18"/>
      <c r="P1902" s="18"/>
      <c r="Q1902" s="18"/>
    </row>
    <row r="1903" spans="6:17">
      <c r="F1903" s="18"/>
      <c r="G1903" s="18"/>
      <c r="H1903" s="18"/>
      <c r="I1903" s="18"/>
      <c r="J1903" s="18"/>
      <c r="K1903" s="18"/>
      <c r="L1903" s="18"/>
      <c r="M1903" s="18"/>
      <c r="N1903" s="18"/>
      <c r="O1903" s="18"/>
      <c r="P1903" s="18"/>
      <c r="Q1903" s="18"/>
    </row>
    <row r="1904" spans="6:17">
      <c r="F1904" s="18"/>
      <c r="G1904" s="18"/>
      <c r="H1904" s="18"/>
      <c r="I1904" s="18"/>
      <c r="J1904" s="18"/>
      <c r="K1904" s="18"/>
      <c r="L1904" s="18"/>
      <c r="M1904" s="18"/>
      <c r="N1904" s="18"/>
      <c r="O1904" s="18"/>
      <c r="P1904" s="18"/>
      <c r="Q1904" s="18"/>
    </row>
    <row r="1905" spans="6:17">
      <c r="F1905" s="18"/>
      <c r="G1905" s="18"/>
      <c r="H1905" s="18"/>
      <c r="I1905" s="18"/>
      <c r="J1905" s="18"/>
      <c r="K1905" s="18"/>
      <c r="L1905" s="18"/>
      <c r="M1905" s="18"/>
      <c r="N1905" s="18"/>
      <c r="O1905" s="18"/>
      <c r="P1905" s="18"/>
      <c r="Q1905" s="18"/>
    </row>
    <row r="1906" spans="6:17">
      <c r="F1906" s="18"/>
      <c r="G1906" s="18"/>
      <c r="H1906" s="18"/>
      <c r="I1906" s="18"/>
      <c r="J1906" s="18"/>
      <c r="K1906" s="18"/>
      <c r="L1906" s="18"/>
      <c r="M1906" s="18"/>
      <c r="N1906" s="18"/>
      <c r="O1906" s="18"/>
      <c r="P1906" s="18"/>
      <c r="Q1906" s="18"/>
    </row>
    <row r="1907" spans="6:17">
      <c r="F1907" s="18"/>
      <c r="G1907" s="18"/>
      <c r="H1907" s="18"/>
      <c r="I1907" s="18"/>
      <c r="J1907" s="18"/>
      <c r="K1907" s="18"/>
      <c r="L1907" s="18"/>
      <c r="M1907" s="18"/>
      <c r="N1907" s="18"/>
      <c r="O1907" s="18"/>
      <c r="P1907" s="18"/>
      <c r="Q1907" s="18"/>
    </row>
    <row r="1908" spans="6:17">
      <c r="F1908" s="18"/>
      <c r="G1908" s="18"/>
      <c r="H1908" s="18"/>
      <c r="I1908" s="18"/>
      <c r="J1908" s="18"/>
      <c r="K1908" s="18"/>
      <c r="L1908" s="18"/>
      <c r="M1908" s="18"/>
      <c r="N1908" s="18"/>
      <c r="O1908" s="18"/>
      <c r="P1908" s="18"/>
      <c r="Q1908" s="18"/>
    </row>
    <row r="1909" spans="6:17">
      <c r="F1909" s="18"/>
      <c r="G1909" s="18"/>
      <c r="H1909" s="18"/>
      <c r="I1909" s="18"/>
      <c r="J1909" s="18"/>
      <c r="K1909" s="18"/>
      <c r="L1909" s="18"/>
      <c r="M1909" s="18"/>
      <c r="N1909" s="18"/>
      <c r="O1909" s="18"/>
      <c r="P1909" s="18"/>
      <c r="Q1909" s="18"/>
    </row>
    <row r="1910" spans="6:17">
      <c r="F1910" s="18"/>
      <c r="G1910" s="18"/>
      <c r="H1910" s="18"/>
      <c r="I1910" s="18"/>
      <c r="J1910" s="18"/>
      <c r="K1910" s="18"/>
      <c r="L1910" s="18"/>
      <c r="M1910" s="18"/>
      <c r="N1910" s="18"/>
      <c r="O1910" s="18"/>
      <c r="P1910" s="18"/>
      <c r="Q1910" s="18"/>
    </row>
    <row r="1911" spans="6:17">
      <c r="F1911" s="18"/>
      <c r="G1911" s="18"/>
      <c r="H1911" s="18"/>
      <c r="I1911" s="18"/>
      <c r="J1911" s="18"/>
      <c r="K1911" s="18"/>
      <c r="L1911" s="18"/>
      <c r="M1911" s="18"/>
      <c r="N1911" s="18"/>
      <c r="O1911" s="18"/>
      <c r="P1911" s="18"/>
      <c r="Q1911" s="18"/>
    </row>
    <row r="1912" spans="6:17">
      <c r="F1912" s="18"/>
      <c r="G1912" s="18"/>
      <c r="H1912" s="18"/>
      <c r="I1912" s="18"/>
      <c r="J1912" s="18"/>
      <c r="K1912" s="18"/>
      <c r="L1912" s="18"/>
      <c r="M1912" s="18"/>
      <c r="N1912" s="18"/>
      <c r="O1912" s="18"/>
      <c r="P1912" s="18"/>
      <c r="Q1912" s="18"/>
    </row>
    <row r="1913" spans="6:17">
      <c r="F1913" s="18"/>
      <c r="G1913" s="18"/>
      <c r="H1913" s="18"/>
      <c r="I1913" s="18"/>
      <c r="J1913" s="18"/>
      <c r="K1913" s="18"/>
      <c r="L1913" s="18"/>
      <c r="M1913" s="18"/>
      <c r="N1913" s="18"/>
      <c r="O1913" s="18"/>
      <c r="P1913" s="18"/>
      <c r="Q1913" s="18"/>
    </row>
    <row r="1914" spans="6:17">
      <c r="F1914" s="18"/>
      <c r="G1914" s="18"/>
      <c r="H1914" s="18"/>
      <c r="I1914" s="18"/>
      <c r="J1914" s="18"/>
      <c r="K1914" s="18"/>
      <c r="L1914" s="18"/>
      <c r="M1914" s="18"/>
      <c r="N1914" s="18"/>
      <c r="O1914" s="18"/>
      <c r="P1914" s="18"/>
      <c r="Q1914" s="18"/>
    </row>
    <row r="1915" spans="6:17">
      <c r="F1915" s="18"/>
      <c r="G1915" s="18"/>
      <c r="H1915" s="18"/>
      <c r="I1915" s="18"/>
      <c r="J1915" s="18"/>
      <c r="K1915" s="18"/>
      <c r="L1915" s="18"/>
      <c r="M1915" s="18"/>
      <c r="N1915" s="18"/>
      <c r="O1915" s="18"/>
      <c r="P1915" s="18"/>
      <c r="Q1915" s="18"/>
    </row>
    <row r="1916" spans="6:17">
      <c r="F1916" s="18"/>
      <c r="G1916" s="18"/>
      <c r="H1916" s="18"/>
      <c r="I1916" s="18"/>
      <c r="J1916" s="18"/>
      <c r="K1916" s="18"/>
      <c r="L1916" s="18"/>
      <c r="M1916" s="18"/>
      <c r="N1916" s="18"/>
      <c r="O1916" s="18"/>
      <c r="P1916" s="18"/>
      <c r="Q1916" s="18"/>
    </row>
    <row r="1917" spans="6:17">
      <c r="F1917" s="18"/>
      <c r="G1917" s="18"/>
      <c r="H1917" s="18"/>
      <c r="I1917" s="18"/>
      <c r="J1917" s="18"/>
      <c r="K1917" s="18"/>
      <c r="L1917" s="18"/>
      <c r="M1917" s="18"/>
      <c r="N1917" s="18"/>
      <c r="O1917" s="18"/>
      <c r="P1917" s="18"/>
      <c r="Q1917" s="18"/>
    </row>
    <row r="1918" spans="6:17">
      <c r="F1918" s="18"/>
      <c r="G1918" s="18"/>
      <c r="H1918" s="18"/>
      <c r="I1918" s="18"/>
      <c r="J1918" s="18"/>
      <c r="K1918" s="18"/>
      <c r="L1918" s="18"/>
      <c r="M1918" s="18"/>
      <c r="N1918" s="18"/>
      <c r="O1918" s="18"/>
      <c r="P1918" s="18"/>
      <c r="Q1918" s="18"/>
    </row>
    <row r="1919" spans="6:17">
      <c r="F1919" s="18"/>
      <c r="G1919" s="18"/>
      <c r="H1919" s="18"/>
      <c r="I1919" s="18"/>
      <c r="J1919" s="18"/>
      <c r="K1919" s="18"/>
      <c r="L1919" s="18"/>
      <c r="M1919" s="18"/>
      <c r="N1919" s="18"/>
      <c r="O1919" s="18"/>
      <c r="P1919" s="18"/>
      <c r="Q1919" s="18"/>
    </row>
    <row r="1920" spans="6:17">
      <c r="F1920" s="18"/>
      <c r="G1920" s="18"/>
      <c r="H1920" s="18"/>
      <c r="I1920" s="18"/>
      <c r="J1920" s="18"/>
      <c r="K1920" s="18"/>
      <c r="L1920" s="18"/>
      <c r="M1920" s="18"/>
      <c r="N1920" s="18"/>
      <c r="O1920" s="18"/>
      <c r="P1920" s="18"/>
      <c r="Q1920" s="18"/>
    </row>
    <row r="1921" spans="6:17">
      <c r="F1921" s="18"/>
      <c r="G1921" s="18"/>
      <c r="H1921" s="18"/>
      <c r="I1921" s="18"/>
      <c r="J1921" s="18"/>
      <c r="K1921" s="18"/>
      <c r="L1921" s="18"/>
      <c r="M1921" s="18"/>
      <c r="N1921" s="18"/>
      <c r="O1921" s="18"/>
      <c r="P1921" s="18"/>
      <c r="Q1921" s="18"/>
    </row>
    <row r="1922" spans="6:17">
      <c r="F1922" s="18"/>
      <c r="G1922" s="18"/>
      <c r="H1922" s="18"/>
      <c r="I1922" s="18"/>
      <c r="J1922" s="18"/>
      <c r="K1922" s="18"/>
      <c r="L1922" s="18"/>
      <c r="M1922" s="18"/>
      <c r="N1922" s="18"/>
      <c r="O1922" s="18"/>
      <c r="P1922" s="18"/>
      <c r="Q1922" s="18"/>
    </row>
    <row r="1923" spans="6:17">
      <c r="F1923" s="18"/>
      <c r="G1923" s="18"/>
      <c r="H1923" s="18"/>
      <c r="I1923" s="18"/>
      <c r="J1923" s="18"/>
      <c r="K1923" s="18"/>
      <c r="L1923" s="18"/>
      <c r="M1923" s="18"/>
      <c r="N1923" s="18"/>
      <c r="O1923" s="18"/>
      <c r="P1923" s="18"/>
      <c r="Q1923" s="18"/>
    </row>
    <row r="1924" spans="6:17">
      <c r="F1924" s="18"/>
      <c r="G1924" s="18"/>
      <c r="H1924" s="18"/>
      <c r="I1924" s="18"/>
      <c r="J1924" s="18"/>
      <c r="K1924" s="18"/>
      <c r="L1924" s="18"/>
      <c r="M1924" s="18"/>
      <c r="N1924" s="18"/>
      <c r="O1924" s="18"/>
      <c r="P1924" s="18"/>
      <c r="Q1924" s="18"/>
    </row>
    <row r="1925" spans="6:17">
      <c r="F1925" s="18"/>
      <c r="G1925" s="18"/>
      <c r="H1925" s="18"/>
      <c r="I1925" s="18"/>
      <c r="J1925" s="18"/>
      <c r="K1925" s="18"/>
      <c r="L1925" s="18"/>
      <c r="M1925" s="18"/>
      <c r="N1925" s="18"/>
      <c r="O1925" s="18"/>
      <c r="P1925" s="18"/>
      <c r="Q1925" s="18"/>
    </row>
    <row r="1926" spans="6:17">
      <c r="F1926" s="18"/>
      <c r="G1926" s="18"/>
      <c r="H1926" s="18"/>
      <c r="I1926" s="18"/>
      <c r="J1926" s="18"/>
      <c r="K1926" s="18"/>
      <c r="L1926" s="18"/>
      <c r="M1926" s="18"/>
      <c r="N1926" s="18"/>
      <c r="O1926" s="18"/>
      <c r="P1926" s="18"/>
      <c r="Q1926" s="18"/>
    </row>
    <row r="1927" spans="6:17">
      <c r="F1927" s="18"/>
      <c r="G1927" s="18"/>
      <c r="H1927" s="18"/>
      <c r="I1927" s="18"/>
      <c r="J1927" s="18"/>
      <c r="K1927" s="18"/>
      <c r="L1927" s="18"/>
      <c r="M1927" s="18"/>
      <c r="N1927" s="18"/>
      <c r="O1927" s="18"/>
      <c r="P1927" s="18"/>
      <c r="Q1927" s="18"/>
    </row>
    <row r="1928" spans="6:17">
      <c r="F1928" s="18"/>
      <c r="G1928" s="18"/>
      <c r="H1928" s="18"/>
      <c r="I1928" s="18"/>
      <c r="J1928" s="18"/>
      <c r="K1928" s="18"/>
      <c r="L1928" s="18"/>
      <c r="M1928" s="18"/>
      <c r="N1928" s="18"/>
      <c r="O1928" s="18"/>
      <c r="P1928" s="18"/>
      <c r="Q1928" s="18"/>
    </row>
    <row r="1929" spans="6:17">
      <c r="F1929" s="18"/>
      <c r="G1929" s="18"/>
      <c r="H1929" s="18"/>
      <c r="I1929" s="18"/>
      <c r="J1929" s="18"/>
      <c r="K1929" s="18"/>
      <c r="L1929" s="18"/>
      <c r="M1929" s="18"/>
      <c r="N1929" s="18"/>
      <c r="O1929" s="18"/>
      <c r="P1929" s="18"/>
      <c r="Q1929" s="18"/>
    </row>
    <row r="1930" spans="6:17">
      <c r="F1930" s="18"/>
      <c r="G1930" s="18"/>
      <c r="H1930" s="18"/>
      <c r="I1930" s="18"/>
      <c r="J1930" s="18"/>
      <c r="K1930" s="18"/>
      <c r="L1930" s="18"/>
      <c r="M1930" s="18"/>
      <c r="N1930" s="18"/>
      <c r="O1930" s="18"/>
      <c r="P1930" s="18"/>
      <c r="Q1930" s="18"/>
    </row>
    <row r="1931" spans="6:17">
      <c r="F1931" s="18"/>
      <c r="G1931" s="18"/>
      <c r="H1931" s="18"/>
      <c r="I1931" s="18"/>
      <c r="J1931" s="18"/>
      <c r="K1931" s="18"/>
      <c r="L1931" s="18"/>
      <c r="M1931" s="18"/>
      <c r="N1931" s="18"/>
      <c r="O1931" s="18"/>
      <c r="P1931" s="18"/>
      <c r="Q1931" s="18"/>
    </row>
    <row r="1932" spans="6:17">
      <c r="F1932" s="18"/>
      <c r="G1932" s="18"/>
      <c r="H1932" s="18"/>
      <c r="I1932" s="18"/>
      <c r="J1932" s="18"/>
      <c r="K1932" s="18"/>
      <c r="L1932" s="18"/>
      <c r="M1932" s="18"/>
      <c r="N1932" s="18"/>
      <c r="O1932" s="18"/>
      <c r="P1932" s="18"/>
      <c r="Q1932" s="18"/>
    </row>
    <row r="1933" spans="6:17">
      <c r="F1933" s="18"/>
      <c r="G1933" s="18"/>
      <c r="H1933" s="18"/>
      <c r="I1933" s="18"/>
      <c r="J1933" s="18"/>
      <c r="K1933" s="18"/>
      <c r="L1933" s="18"/>
      <c r="M1933" s="18"/>
      <c r="N1933" s="18"/>
      <c r="O1933" s="18"/>
      <c r="P1933" s="18"/>
      <c r="Q1933" s="18"/>
    </row>
    <row r="1934" spans="6:17">
      <c r="F1934" s="18"/>
      <c r="G1934" s="18"/>
      <c r="H1934" s="18"/>
      <c r="I1934" s="18"/>
      <c r="J1934" s="18"/>
      <c r="K1934" s="18"/>
      <c r="L1934" s="18"/>
      <c r="M1934" s="18"/>
      <c r="N1934" s="18"/>
      <c r="O1934" s="18"/>
      <c r="P1934" s="18"/>
      <c r="Q1934" s="18"/>
    </row>
    <row r="1935" spans="6:17">
      <c r="F1935" s="18"/>
      <c r="G1935" s="18"/>
      <c r="H1935" s="18"/>
      <c r="I1935" s="18"/>
      <c r="J1935" s="18"/>
      <c r="K1935" s="18"/>
      <c r="L1935" s="18"/>
      <c r="M1935" s="18"/>
      <c r="N1935" s="18"/>
      <c r="O1935" s="18"/>
      <c r="P1935" s="18"/>
      <c r="Q1935" s="18"/>
    </row>
    <row r="1936" spans="6:17">
      <c r="F1936" s="18"/>
      <c r="G1936" s="18"/>
      <c r="H1936" s="18"/>
      <c r="I1936" s="18"/>
      <c r="J1936" s="18"/>
      <c r="K1936" s="18"/>
      <c r="L1936" s="18"/>
      <c r="M1936" s="18"/>
      <c r="N1936" s="18"/>
      <c r="O1936" s="18"/>
      <c r="P1936" s="18"/>
      <c r="Q1936" s="18"/>
    </row>
    <row r="1937" spans="6:17">
      <c r="F1937" s="18"/>
      <c r="G1937" s="18"/>
      <c r="H1937" s="18"/>
      <c r="I1937" s="18"/>
      <c r="J1937" s="18"/>
      <c r="K1937" s="18"/>
      <c r="L1937" s="18"/>
      <c r="M1937" s="18"/>
      <c r="N1937" s="18"/>
      <c r="O1937" s="18"/>
      <c r="P1937" s="18"/>
      <c r="Q1937" s="18"/>
    </row>
    <row r="1938" spans="6:17">
      <c r="F1938" s="18"/>
      <c r="G1938" s="18"/>
      <c r="H1938" s="18"/>
      <c r="I1938" s="18"/>
      <c r="J1938" s="18"/>
      <c r="K1938" s="18"/>
      <c r="L1938" s="18"/>
      <c r="M1938" s="18"/>
      <c r="N1938" s="18"/>
      <c r="O1938" s="18"/>
      <c r="P1938" s="18"/>
      <c r="Q1938" s="18"/>
    </row>
    <row r="1939" spans="6:17">
      <c r="F1939" s="18"/>
      <c r="G1939" s="18"/>
      <c r="H1939" s="18"/>
      <c r="I1939" s="18"/>
      <c r="J1939" s="18"/>
      <c r="K1939" s="18"/>
      <c r="L1939" s="18"/>
      <c r="M1939" s="18"/>
      <c r="N1939" s="18"/>
      <c r="O1939" s="18"/>
      <c r="P1939" s="18"/>
      <c r="Q1939" s="18"/>
    </row>
    <row r="1940" spans="6:17">
      <c r="F1940" s="18"/>
      <c r="G1940" s="18"/>
      <c r="H1940" s="18"/>
      <c r="I1940" s="18"/>
      <c r="J1940" s="18"/>
      <c r="K1940" s="18"/>
      <c r="L1940" s="18"/>
      <c r="M1940" s="18"/>
      <c r="N1940" s="18"/>
      <c r="O1940" s="18"/>
      <c r="P1940" s="18"/>
      <c r="Q1940" s="18"/>
    </row>
    <row r="1941" spans="6:17">
      <c r="F1941" s="18"/>
      <c r="G1941" s="18"/>
      <c r="H1941" s="18"/>
      <c r="I1941" s="18"/>
      <c r="J1941" s="18"/>
      <c r="K1941" s="18"/>
      <c r="L1941" s="18"/>
      <c r="M1941" s="18"/>
      <c r="N1941" s="18"/>
      <c r="O1941" s="18"/>
      <c r="P1941" s="18"/>
      <c r="Q1941" s="18"/>
    </row>
    <row r="1942" spans="6:17">
      <c r="F1942" s="18"/>
      <c r="G1942" s="18"/>
      <c r="H1942" s="18"/>
      <c r="I1942" s="18"/>
      <c r="J1942" s="18"/>
      <c r="K1942" s="18"/>
      <c r="L1942" s="18"/>
      <c r="M1942" s="18"/>
      <c r="N1942" s="18"/>
      <c r="O1942" s="18"/>
      <c r="P1942" s="18"/>
      <c r="Q1942" s="18"/>
    </row>
    <row r="1943" spans="6:17">
      <c r="F1943" s="18"/>
      <c r="G1943" s="18"/>
      <c r="H1943" s="18"/>
      <c r="I1943" s="18"/>
      <c r="J1943" s="18"/>
      <c r="K1943" s="18"/>
      <c r="L1943" s="18"/>
      <c r="M1943" s="18"/>
      <c r="N1943" s="18"/>
      <c r="O1943" s="18"/>
      <c r="P1943" s="18"/>
      <c r="Q1943" s="18"/>
    </row>
    <row r="1944" spans="6:17">
      <c r="F1944" s="18"/>
      <c r="G1944" s="18"/>
      <c r="H1944" s="18"/>
      <c r="I1944" s="18"/>
      <c r="J1944" s="18"/>
      <c r="K1944" s="18"/>
      <c r="L1944" s="18"/>
      <c r="M1944" s="18"/>
      <c r="N1944" s="18"/>
      <c r="O1944" s="18"/>
      <c r="P1944" s="18"/>
      <c r="Q1944" s="18"/>
    </row>
    <row r="1945" spans="6:17">
      <c r="F1945" s="18"/>
      <c r="G1945" s="18"/>
      <c r="H1945" s="18"/>
      <c r="I1945" s="18"/>
      <c r="J1945" s="18"/>
      <c r="K1945" s="18"/>
      <c r="L1945" s="18"/>
      <c r="M1945" s="18"/>
      <c r="N1945" s="18"/>
      <c r="O1945" s="18"/>
      <c r="P1945" s="18"/>
      <c r="Q1945" s="18"/>
    </row>
    <row r="1946" spans="6:17">
      <c r="F1946" s="18"/>
      <c r="G1946" s="18"/>
      <c r="H1946" s="18"/>
      <c r="I1946" s="18"/>
      <c r="J1946" s="18"/>
      <c r="K1946" s="18"/>
      <c r="L1946" s="18"/>
      <c r="M1946" s="18"/>
      <c r="N1946" s="18"/>
      <c r="O1946" s="18"/>
      <c r="P1946" s="18"/>
      <c r="Q1946" s="18"/>
    </row>
    <row r="1947" spans="6:17">
      <c r="F1947" s="18"/>
      <c r="G1947" s="18"/>
      <c r="H1947" s="18"/>
      <c r="I1947" s="18"/>
      <c r="J1947" s="18"/>
      <c r="K1947" s="18"/>
      <c r="L1947" s="18"/>
      <c r="M1947" s="18"/>
      <c r="N1947" s="18"/>
      <c r="O1947" s="18"/>
      <c r="P1947" s="18"/>
      <c r="Q1947" s="18"/>
    </row>
    <row r="1948" spans="6:17">
      <c r="F1948" s="18"/>
      <c r="G1948" s="18"/>
      <c r="H1948" s="18"/>
      <c r="I1948" s="18"/>
      <c r="J1948" s="18"/>
      <c r="K1948" s="18"/>
      <c r="L1948" s="18"/>
      <c r="M1948" s="18"/>
      <c r="N1948" s="18"/>
      <c r="O1948" s="18"/>
      <c r="P1948" s="18"/>
      <c r="Q1948" s="18"/>
    </row>
    <row r="1949" spans="6:17">
      <c r="F1949" s="18"/>
      <c r="G1949" s="18"/>
      <c r="H1949" s="18"/>
      <c r="I1949" s="18"/>
      <c r="J1949" s="18"/>
      <c r="K1949" s="18"/>
      <c r="L1949" s="18"/>
      <c r="M1949" s="18"/>
      <c r="N1949" s="18"/>
      <c r="O1949" s="18"/>
      <c r="P1949" s="18"/>
      <c r="Q1949" s="18"/>
    </row>
    <row r="1950" spans="6:17">
      <c r="F1950" s="18"/>
      <c r="G1950" s="18"/>
      <c r="H1950" s="18"/>
      <c r="I1950" s="18"/>
      <c r="J1950" s="18"/>
      <c r="K1950" s="18"/>
      <c r="L1950" s="18"/>
      <c r="M1950" s="18"/>
      <c r="N1950" s="18"/>
      <c r="O1950" s="18"/>
      <c r="P1950" s="18"/>
      <c r="Q1950" s="18"/>
    </row>
    <row r="1951" spans="6:17">
      <c r="F1951" s="18"/>
      <c r="G1951" s="18"/>
      <c r="H1951" s="18"/>
      <c r="I1951" s="18"/>
      <c r="J1951" s="18"/>
      <c r="K1951" s="18"/>
      <c r="L1951" s="18"/>
      <c r="M1951" s="18"/>
      <c r="N1951" s="18"/>
      <c r="O1951" s="18"/>
      <c r="P1951" s="18"/>
      <c r="Q1951" s="18"/>
    </row>
    <row r="1952" spans="6:17">
      <c r="F1952" s="18"/>
      <c r="G1952" s="18"/>
      <c r="H1952" s="18"/>
      <c r="I1952" s="18"/>
      <c r="J1952" s="18"/>
      <c r="K1952" s="18"/>
      <c r="L1952" s="18"/>
      <c r="M1952" s="18"/>
      <c r="N1952" s="18"/>
      <c r="O1952" s="18"/>
      <c r="P1952" s="18"/>
      <c r="Q1952" s="18"/>
    </row>
    <row r="1953" spans="6:17">
      <c r="F1953" s="18"/>
      <c r="G1953" s="18"/>
      <c r="H1953" s="18"/>
      <c r="I1953" s="18"/>
      <c r="J1953" s="18"/>
      <c r="K1953" s="18"/>
      <c r="L1953" s="18"/>
      <c r="M1953" s="18"/>
      <c r="N1953" s="18"/>
      <c r="O1953" s="18"/>
      <c r="P1953" s="18"/>
      <c r="Q1953" s="18"/>
    </row>
    <row r="1954" spans="6:17">
      <c r="F1954" s="18"/>
      <c r="G1954" s="18"/>
      <c r="H1954" s="18"/>
      <c r="I1954" s="18"/>
      <c r="J1954" s="18"/>
      <c r="K1954" s="18"/>
      <c r="L1954" s="18"/>
      <c r="M1954" s="18"/>
      <c r="N1954" s="18"/>
      <c r="O1954" s="18"/>
      <c r="P1954" s="18"/>
      <c r="Q1954" s="18"/>
    </row>
    <row r="1955" spans="6:17">
      <c r="F1955" s="18"/>
      <c r="G1955" s="18"/>
      <c r="H1955" s="18"/>
      <c r="I1955" s="18"/>
      <c r="J1955" s="18"/>
      <c r="K1955" s="18"/>
      <c r="L1955" s="18"/>
      <c r="M1955" s="18"/>
      <c r="N1955" s="18"/>
      <c r="O1955" s="18"/>
      <c r="P1955" s="18"/>
      <c r="Q1955" s="18"/>
    </row>
    <row r="1956" spans="6:17">
      <c r="F1956" s="18"/>
      <c r="G1956" s="18"/>
      <c r="H1956" s="18"/>
      <c r="I1956" s="18"/>
      <c r="J1956" s="18"/>
      <c r="K1956" s="18"/>
      <c r="L1956" s="18"/>
      <c r="M1956" s="18"/>
      <c r="N1956" s="18"/>
      <c r="O1956" s="18"/>
      <c r="P1956" s="18"/>
      <c r="Q1956" s="18"/>
    </row>
    <row r="1957" spans="6:17">
      <c r="F1957" s="18"/>
      <c r="G1957" s="18"/>
      <c r="H1957" s="18"/>
      <c r="I1957" s="18"/>
      <c r="J1957" s="18"/>
      <c r="K1957" s="18"/>
      <c r="L1957" s="18"/>
      <c r="M1957" s="18"/>
      <c r="N1957" s="18"/>
      <c r="O1957" s="18"/>
      <c r="P1957" s="18"/>
      <c r="Q1957" s="18"/>
    </row>
    <row r="1958" spans="6:17">
      <c r="F1958" s="18"/>
      <c r="G1958" s="18"/>
      <c r="H1958" s="18"/>
      <c r="I1958" s="18"/>
      <c r="J1958" s="18"/>
      <c r="K1958" s="18"/>
      <c r="L1958" s="18"/>
      <c r="M1958" s="18"/>
      <c r="N1958" s="18"/>
      <c r="O1958" s="18"/>
      <c r="P1958" s="18"/>
      <c r="Q1958" s="18"/>
    </row>
    <row r="1959" spans="6:17">
      <c r="F1959" s="18"/>
      <c r="G1959" s="18"/>
      <c r="H1959" s="18"/>
      <c r="I1959" s="18"/>
      <c r="J1959" s="18"/>
      <c r="K1959" s="18"/>
      <c r="L1959" s="18"/>
      <c r="M1959" s="18"/>
      <c r="N1959" s="18"/>
      <c r="O1959" s="18"/>
      <c r="P1959" s="18"/>
      <c r="Q1959" s="18"/>
    </row>
    <row r="1960" spans="6:17">
      <c r="F1960" s="18"/>
      <c r="G1960" s="18"/>
      <c r="H1960" s="18"/>
      <c r="I1960" s="18"/>
      <c r="J1960" s="18"/>
      <c r="K1960" s="18"/>
      <c r="L1960" s="18"/>
      <c r="M1960" s="18"/>
      <c r="N1960" s="18"/>
      <c r="O1960" s="18"/>
      <c r="P1960" s="18"/>
      <c r="Q1960" s="18"/>
    </row>
    <row r="1961" spans="6:17">
      <c r="F1961" s="18"/>
      <c r="G1961" s="18"/>
      <c r="H1961" s="18"/>
      <c r="I1961" s="18"/>
      <c r="J1961" s="18"/>
      <c r="K1961" s="18"/>
      <c r="L1961" s="18"/>
      <c r="M1961" s="18"/>
      <c r="N1961" s="18"/>
      <c r="O1961" s="18"/>
      <c r="P1961" s="18"/>
      <c r="Q1961" s="18"/>
    </row>
    <row r="1962" spans="6:17">
      <c r="F1962" s="18"/>
      <c r="G1962" s="18"/>
      <c r="H1962" s="18"/>
      <c r="I1962" s="18"/>
      <c r="J1962" s="18"/>
      <c r="K1962" s="18"/>
      <c r="L1962" s="18"/>
      <c r="M1962" s="18"/>
      <c r="N1962" s="18"/>
      <c r="O1962" s="18"/>
      <c r="P1962" s="18"/>
      <c r="Q1962" s="18"/>
    </row>
    <row r="1963" spans="6:17">
      <c r="F1963" s="18"/>
      <c r="G1963" s="18"/>
      <c r="H1963" s="18"/>
      <c r="I1963" s="18"/>
      <c r="J1963" s="18"/>
      <c r="K1963" s="18"/>
      <c r="L1963" s="18"/>
      <c r="M1963" s="18"/>
      <c r="N1963" s="18"/>
      <c r="O1963" s="18"/>
      <c r="P1963" s="18"/>
      <c r="Q1963" s="18"/>
    </row>
    <row r="1964" spans="6:17">
      <c r="F1964" s="18"/>
      <c r="G1964" s="18"/>
      <c r="H1964" s="18"/>
      <c r="I1964" s="18"/>
      <c r="J1964" s="18"/>
      <c r="K1964" s="18"/>
      <c r="L1964" s="18"/>
      <c r="M1964" s="18"/>
      <c r="N1964" s="18"/>
      <c r="O1964" s="18"/>
      <c r="P1964" s="18"/>
      <c r="Q1964" s="18"/>
    </row>
    <row r="1965" spans="6:17">
      <c r="F1965" s="18"/>
      <c r="G1965" s="18"/>
      <c r="H1965" s="18"/>
      <c r="I1965" s="18"/>
      <c r="J1965" s="18"/>
      <c r="K1965" s="18"/>
      <c r="L1965" s="18"/>
      <c r="M1965" s="18"/>
      <c r="N1965" s="18"/>
      <c r="O1965" s="18"/>
      <c r="P1965" s="18"/>
      <c r="Q1965" s="18"/>
    </row>
    <row r="1966" spans="6:17">
      <c r="F1966" s="18"/>
      <c r="G1966" s="18"/>
      <c r="H1966" s="18"/>
      <c r="I1966" s="18"/>
      <c r="J1966" s="18"/>
      <c r="K1966" s="18"/>
      <c r="L1966" s="18"/>
      <c r="M1966" s="18"/>
      <c r="N1966" s="18"/>
      <c r="O1966" s="18"/>
      <c r="P1966" s="18"/>
      <c r="Q1966" s="18"/>
    </row>
    <row r="1967" spans="6:17">
      <c r="F1967" s="18"/>
      <c r="G1967" s="18"/>
      <c r="H1967" s="18"/>
      <c r="I1967" s="18"/>
      <c r="J1967" s="18"/>
      <c r="K1967" s="18"/>
      <c r="L1967" s="18"/>
      <c r="M1967" s="18"/>
      <c r="N1967" s="18"/>
      <c r="O1967" s="18"/>
      <c r="P1967" s="18"/>
      <c r="Q1967" s="18"/>
    </row>
    <row r="1968" spans="6:17">
      <c r="F1968" s="36" t="e">
        <f>(#REF!-#REF!)/#REF!</f>
        <v>#REF!</v>
      </c>
      <c r="G1968" s="36" t="e">
        <f>(#REF!-#REF!)/#REF!</f>
        <v>#REF!</v>
      </c>
      <c r="H1968" s="36" t="e">
        <f>(#REF!-#REF!)/#REF!</f>
        <v>#REF!</v>
      </c>
      <c r="I1968" s="36" t="e">
        <f>(#REF!-#REF!)/#REF!</f>
        <v>#REF!</v>
      </c>
      <c r="J1968" s="36" t="e">
        <f>(#REF!-#REF!)/#REF!</f>
        <v>#REF!</v>
      </c>
      <c r="K1968" s="36" t="e">
        <f>(C1968-C1726)/C1726</f>
        <v>#DIV/0!</v>
      </c>
      <c r="L1968" s="36" t="e">
        <f>(D1968-D1726)/D1726</f>
        <v>#DIV/0!</v>
      </c>
      <c r="M1968" s="36" t="e">
        <f>(F1968-F1726)/F1726</f>
        <v>#REF!</v>
      </c>
      <c r="N1968" s="36" t="e">
        <f>(G1968-G1726)/G1726</f>
        <v>#REF!</v>
      </c>
      <c r="O1968" s="36" t="e">
        <f>(H1968-H1726)/H1726</f>
        <v>#REF!</v>
      </c>
      <c r="P1968" s="36" t="e">
        <f>(I1968-I1726)/I1726</f>
        <v>#REF!</v>
      </c>
      <c r="Q1968" s="36"/>
    </row>
    <row r="1969" spans="6:17">
      <c r="F1969" s="18"/>
      <c r="G1969" s="18"/>
      <c r="H1969" s="18"/>
      <c r="I1969" s="18"/>
      <c r="J1969" s="18"/>
      <c r="K1969" s="18"/>
      <c r="L1969" s="18"/>
      <c r="M1969" s="18"/>
      <c r="N1969" s="18"/>
      <c r="O1969" s="18"/>
      <c r="P1969" s="18"/>
      <c r="Q1969" s="18"/>
    </row>
    <row r="1970" spans="6:17">
      <c r="F1970" s="18"/>
      <c r="G1970" s="18"/>
      <c r="H1970" s="18"/>
      <c r="I1970" s="18"/>
      <c r="J1970" s="18"/>
      <c r="K1970" s="18"/>
      <c r="L1970" s="18"/>
      <c r="M1970" s="18"/>
      <c r="N1970" s="18"/>
      <c r="O1970" s="18"/>
      <c r="P1970" s="18"/>
      <c r="Q1970" s="18"/>
    </row>
    <row r="1971" spans="6:17">
      <c r="F1971" s="18"/>
      <c r="G1971" s="18"/>
      <c r="H1971" s="18"/>
      <c r="I1971" s="18"/>
      <c r="J1971" s="18"/>
      <c r="K1971" s="18"/>
      <c r="L1971" s="18"/>
      <c r="M1971" s="18"/>
      <c r="N1971" s="18"/>
      <c r="O1971" s="18"/>
      <c r="P1971" s="18"/>
      <c r="Q1971" s="18"/>
    </row>
    <row r="1972" spans="6:17">
      <c r="F1972" s="18"/>
      <c r="G1972" s="18"/>
      <c r="H1972" s="18"/>
      <c r="I1972" s="18"/>
      <c r="J1972" s="18"/>
      <c r="K1972" s="18"/>
      <c r="L1972" s="18"/>
      <c r="M1972" s="18"/>
      <c r="N1972" s="18"/>
      <c r="O1972" s="18"/>
      <c r="P1972" s="18"/>
      <c r="Q1972" s="18"/>
    </row>
    <row r="1973" spans="6:17">
      <c r="F1973" s="18"/>
      <c r="G1973" s="18"/>
      <c r="H1973" s="18"/>
      <c r="I1973" s="18"/>
      <c r="J1973" s="18"/>
      <c r="K1973" s="18"/>
      <c r="L1973" s="18"/>
      <c r="M1973" s="18"/>
      <c r="N1973" s="18"/>
      <c r="O1973" s="18"/>
      <c r="P1973" s="18"/>
      <c r="Q1973" s="18"/>
    </row>
    <row r="1974" spans="6:17">
      <c r="F1974" s="18"/>
      <c r="G1974" s="18"/>
      <c r="H1974" s="18"/>
      <c r="I1974" s="18"/>
      <c r="J1974" s="18"/>
      <c r="K1974" s="18"/>
      <c r="L1974" s="18"/>
      <c r="M1974" s="18"/>
      <c r="N1974" s="18"/>
      <c r="O1974" s="18"/>
      <c r="P1974" s="18"/>
      <c r="Q1974" s="18"/>
    </row>
    <row r="1975" spans="6:17">
      <c r="F1975" s="18"/>
      <c r="G1975" s="18"/>
      <c r="H1975" s="18"/>
      <c r="I1975" s="18"/>
      <c r="J1975" s="18"/>
      <c r="K1975" s="18"/>
      <c r="L1975" s="18"/>
      <c r="M1975" s="18"/>
      <c r="N1975" s="18"/>
      <c r="O1975" s="18"/>
      <c r="P1975" s="18"/>
      <c r="Q1975" s="18"/>
    </row>
    <row r="1976" spans="6:17">
      <c r="F1976" s="18"/>
      <c r="G1976" s="18"/>
      <c r="H1976" s="18"/>
      <c r="I1976" s="18"/>
      <c r="J1976" s="18"/>
      <c r="K1976" s="18"/>
      <c r="L1976" s="18"/>
      <c r="M1976" s="18"/>
      <c r="N1976" s="18"/>
      <c r="O1976" s="18"/>
      <c r="P1976" s="18"/>
      <c r="Q1976" s="18"/>
    </row>
    <row r="1977" spans="6:17">
      <c r="F1977" s="18"/>
      <c r="G1977" s="18"/>
      <c r="H1977" s="18"/>
      <c r="I1977" s="18"/>
      <c r="J1977" s="18"/>
      <c r="K1977" s="18"/>
      <c r="L1977" s="18"/>
      <c r="M1977" s="18"/>
      <c r="N1977" s="18"/>
      <c r="O1977" s="18"/>
      <c r="P1977" s="18"/>
      <c r="Q1977" s="18"/>
    </row>
    <row r="1978" spans="6:17">
      <c r="F1978" s="18"/>
      <c r="G1978" s="18"/>
      <c r="H1978" s="18"/>
      <c r="I1978" s="18"/>
      <c r="J1978" s="18"/>
      <c r="K1978" s="18"/>
      <c r="L1978" s="18"/>
      <c r="M1978" s="18"/>
      <c r="N1978" s="18"/>
      <c r="O1978" s="18"/>
      <c r="P1978" s="18"/>
      <c r="Q1978" s="18"/>
    </row>
    <row r="1979" spans="6:17">
      <c r="F1979" s="18"/>
      <c r="G1979" s="18"/>
      <c r="H1979" s="18"/>
      <c r="I1979" s="18"/>
      <c r="J1979" s="18"/>
      <c r="K1979" s="18"/>
      <c r="L1979" s="18"/>
      <c r="M1979" s="18"/>
      <c r="N1979" s="18"/>
      <c r="O1979" s="18"/>
      <c r="P1979" s="18"/>
      <c r="Q1979" s="18"/>
    </row>
    <row r="1980" spans="6:17">
      <c r="F1980" s="18"/>
      <c r="G1980" s="18"/>
      <c r="H1980" s="18"/>
      <c r="I1980" s="18"/>
      <c r="J1980" s="18"/>
      <c r="K1980" s="18"/>
      <c r="L1980" s="18"/>
      <c r="M1980" s="18"/>
      <c r="N1980" s="18"/>
      <c r="O1980" s="18"/>
      <c r="P1980" s="18"/>
      <c r="Q1980" s="18"/>
    </row>
    <row r="1981" spans="6:17">
      <c r="F1981" s="18"/>
      <c r="G1981" s="18"/>
      <c r="H1981" s="18"/>
      <c r="I1981" s="18"/>
      <c r="J1981" s="18"/>
      <c r="K1981" s="18"/>
      <c r="L1981" s="18"/>
      <c r="M1981" s="18"/>
      <c r="N1981" s="18"/>
      <c r="O1981" s="18"/>
      <c r="P1981" s="18"/>
      <c r="Q1981" s="18"/>
    </row>
    <row r="1982" spans="6:17">
      <c r="F1982" s="18"/>
      <c r="G1982" s="18"/>
      <c r="H1982" s="18"/>
      <c r="I1982" s="18"/>
      <c r="J1982" s="18"/>
      <c r="K1982" s="18"/>
      <c r="L1982" s="18"/>
      <c r="M1982" s="18"/>
      <c r="N1982" s="18"/>
      <c r="O1982" s="18"/>
      <c r="P1982" s="18"/>
      <c r="Q1982" s="18"/>
    </row>
    <row r="1983" spans="6:17">
      <c r="F1983" s="18"/>
      <c r="G1983" s="18"/>
      <c r="H1983" s="18"/>
      <c r="I1983" s="18"/>
      <c r="J1983" s="18"/>
      <c r="K1983" s="18"/>
      <c r="L1983" s="18"/>
      <c r="M1983" s="18"/>
      <c r="N1983" s="18"/>
      <c r="O1983" s="18"/>
      <c r="P1983" s="18"/>
      <c r="Q1983" s="18"/>
    </row>
    <row r="1984" spans="6:17">
      <c r="F1984" s="18"/>
      <c r="G1984" s="18"/>
      <c r="H1984" s="18"/>
      <c r="I1984" s="18"/>
      <c r="J1984" s="18"/>
      <c r="K1984" s="18"/>
      <c r="L1984" s="18"/>
      <c r="M1984" s="18"/>
      <c r="N1984" s="18"/>
      <c r="O1984" s="18"/>
      <c r="P1984" s="18"/>
      <c r="Q1984" s="18"/>
    </row>
    <row r="1985" spans="6:17">
      <c r="F1985" s="18"/>
      <c r="G1985" s="18"/>
      <c r="H1985" s="18"/>
      <c r="I1985" s="18"/>
      <c r="J1985" s="18"/>
      <c r="K1985" s="18"/>
      <c r="L1985" s="18"/>
      <c r="M1985" s="18"/>
      <c r="N1985" s="18"/>
      <c r="O1985" s="18"/>
      <c r="P1985" s="18"/>
      <c r="Q1985" s="18"/>
    </row>
    <row r="1986" spans="6:17">
      <c r="F1986" s="18"/>
      <c r="G1986" s="18"/>
      <c r="H1986" s="18"/>
      <c r="I1986" s="18"/>
      <c r="J1986" s="18"/>
      <c r="K1986" s="18"/>
      <c r="L1986" s="18"/>
      <c r="M1986" s="18"/>
      <c r="N1986" s="18"/>
      <c r="O1986" s="18"/>
      <c r="P1986" s="18"/>
      <c r="Q1986" s="18"/>
    </row>
    <row r="1987" spans="6:17">
      <c r="F1987" s="18"/>
      <c r="G1987" s="18"/>
      <c r="H1987" s="18"/>
      <c r="I1987" s="18"/>
      <c r="J1987" s="18"/>
      <c r="K1987" s="18"/>
      <c r="L1987" s="18"/>
      <c r="M1987" s="18"/>
      <c r="N1987" s="18"/>
      <c r="O1987" s="18"/>
      <c r="P1987" s="18"/>
      <c r="Q1987" s="18"/>
    </row>
    <row r="1988" spans="6:17">
      <c r="F1988" s="18"/>
      <c r="G1988" s="18"/>
      <c r="H1988" s="18"/>
      <c r="I1988" s="18"/>
      <c r="J1988" s="18"/>
      <c r="K1988" s="18"/>
      <c r="L1988" s="18"/>
      <c r="M1988" s="18"/>
      <c r="N1988" s="18"/>
      <c r="O1988" s="18"/>
      <c r="P1988" s="18"/>
      <c r="Q1988" s="18"/>
    </row>
    <row r="1989" spans="6:17">
      <c r="F1989" s="18"/>
      <c r="G1989" s="18"/>
      <c r="H1989" s="18"/>
      <c r="I1989" s="18"/>
      <c r="J1989" s="18"/>
      <c r="K1989" s="18"/>
      <c r="L1989" s="18"/>
      <c r="M1989" s="18"/>
      <c r="N1989" s="18"/>
      <c r="O1989" s="18"/>
      <c r="P1989" s="18"/>
      <c r="Q1989" s="18"/>
    </row>
    <row r="1990" spans="6:17">
      <c r="F1990" s="18"/>
      <c r="G1990" s="18"/>
      <c r="H1990" s="18"/>
      <c r="I1990" s="18"/>
      <c r="J1990" s="18"/>
      <c r="K1990" s="18"/>
      <c r="L1990" s="18"/>
      <c r="M1990" s="18"/>
      <c r="N1990" s="18"/>
      <c r="O1990" s="18"/>
      <c r="P1990" s="18"/>
      <c r="Q1990" s="18"/>
    </row>
    <row r="1991" spans="6:17">
      <c r="F1991" s="18"/>
      <c r="G1991" s="18"/>
      <c r="H1991" s="18"/>
      <c r="I1991" s="18"/>
      <c r="J1991" s="18"/>
      <c r="K1991" s="18"/>
      <c r="L1991" s="18"/>
      <c r="M1991" s="18"/>
      <c r="N1991" s="18"/>
      <c r="O1991" s="18"/>
      <c r="P1991" s="18"/>
      <c r="Q1991" s="18"/>
    </row>
    <row r="1992" spans="6:17">
      <c r="F1992" s="18"/>
      <c r="G1992" s="18"/>
      <c r="H1992" s="18"/>
      <c r="I1992" s="18"/>
      <c r="J1992" s="18"/>
      <c r="K1992" s="18"/>
      <c r="L1992" s="18"/>
      <c r="M1992" s="18"/>
      <c r="N1992" s="18"/>
      <c r="O1992" s="18"/>
      <c r="P1992" s="18"/>
      <c r="Q1992" s="18"/>
    </row>
    <row r="1993" spans="6:17">
      <c r="F1993" s="18"/>
      <c r="G1993" s="18"/>
      <c r="H1993" s="18"/>
      <c r="I1993" s="18"/>
      <c r="J1993" s="18"/>
      <c r="K1993" s="18"/>
      <c r="L1993" s="18"/>
      <c r="M1993" s="18"/>
      <c r="N1993" s="18"/>
      <c r="O1993" s="18"/>
      <c r="P1993" s="18"/>
      <c r="Q1993" s="18"/>
    </row>
    <row r="1994" spans="6:17">
      <c r="F1994" s="18"/>
      <c r="G1994" s="18"/>
      <c r="H1994" s="18"/>
      <c r="I1994" s="18"/>
      <c r="J1994" s="18"/>
      <c r="K1994" s="18"/>
      <c r="L1994" s="18"/>
      <c r="M1994" s="18"/>
      <c r="N1994" s="18"/>
      <c r="O1994" s="18"/>
      <c r="P1994" s="18"/>
      <c r="Q1994" s="18"/>
    </row>
    <row r="1995" spans="6:17">
      <c r="F1995" s="18"/>
      <c r="G1995" s="18"/>
      <c r="H1995" s="18"/>
      <c r="I1995" s="18"/>
      <c r="J1995" s="18"/>
      <c r="K1995" s="18"/>
      <c r="L1995" s="18"/>
      <c r="M1995" s="18"/>
      <c r="N1995" s="18"/>
      <c r="O1995" s="18"/>
      <c r="P1995" s="18"/>
      <c r="Q1995" s="18"/>
    </row>
    <row r="1996" spans="6:17">
      <c r="F1996" s="18"/>
      <c r="G1996" s="18"/>
      <c r="H1996" s="18"/>
      <c r="I1996" s="18"/>
      <c r="J1996" s="18"/>
      <c r="K1996" s="18"/>
      <c r="L1996" s="18"/>
      <c r="M1996" s="18"/>
      <c r="N1996" s="18"/>
      <c r="O1996" s="18"/>
      <c r="P1996" s="18"/>
      <c r="Q1996" s="18"/>
    </row>
    <row r="1997" spans="6:17">
      <c r="F1997" s="18"/>
      <c r="G1997" s="18"/>
      <c r="H1997" s="18"/>
      <c r="I1997" s="18"/>
      <c r="J1997" s="18"/>
      <c r="K1997" s="18"/>
      <c r="L1997" s="18"/>
      <c r="M1997" s="18"/>
      <c r="N1997" s="18"/>
      <c r="O1997" s="18"/>
      <c r="P1997" s="18"/>
      <c r="Q1997" s="18"/>
    </row>
    <row r="1998" spans="6:17">
      <c r="F1998" s="18"/>
      <c r="G1998" s="18"/>
      <c r="H1998" s="18"/>
      <c r="I1998" s="18"/>
      <c r="J1998" s="18"/>
      <c r="K1998" s="18"/>
      <c r="L1998" s="18"/>
      <c r="M1998" s="18"/>
      <c r="N1998" s="18"/>
      <c r="O1998" s="18"/>
      <c r="P1998" s="18"/>
      <c r="Q1998" s="18"/>
    </row>
    <row r="1999" spans="6:17">
      <c r="F1999" s="18"/>
      <c r="G1999" s="18"/>
      <c r="H1999" s="18"/>
      <c r="I1999" s="18"/>
      <c r="J1999" s="18"/>
      <c r="K1999" s="18"/>
      <c r="L1999" s="18"/>
      <c r="M1999" s="18"/>
      <c r="N1999" s="18"/>
      <c r="O1999" s="18"/>
      <c r="P1999" s="18"/>
      <c r="Q1999" s="18"/>
    </row>
    <row r="2000" spans="6:17">
      <c r="F2000" s="18"/>
      <c r="G2000" s="18"/>
      <c r="H2000" s="18"/>
      <c r="I2000" s="18"/>
      <c r="J2000" s="18"/>
      <c r="K2000" s="18"/>
      <c r="L2000" s="18"/>
      <c r="M2000" s="18"/>
      <c r="N2000" s="18"/>
      <c r="O2000" s="18"/>
      <c r="P2000" s="18"/>
      <c r="Q2000" s="18"/>
    </row>
    <row r="2001" spans="6:17">
      <c r="F2001" s="18"/>
      <c r="G2001" s="18"/>
      <c r="H2001" s="18"/>
      <c r="I2001" s="18"/>
      <c r="J2001" s="18"/>
      <c r="K2001" s="18"/>
      <c r="L2001" s="18"/>
      <c r="M2001" s="18"/>
      <c r="N2001" s="18"/>
      <c r="O2001" s="18"/>
      <c r="P2001" s="18"/>
      <c r="Q2001" s="18"/>
    </row>
    <row r="2002" spans="6:17">
      <c r="F2002" s="18"/>
      <c r="G2002" s="18"/>
      <c r="H2002" s="18"/>
      <c r="I2002" s="18"/>
      <c r="J2002" s="18"/>
      <c r="K2002" s="18"/>
      <c r="L2002" s="18"/>
      <c r="M2002" s="18"/>
      <c r="N2002" s="18"/>
      <c r="O2002" s="18"/>
      <c r="P2002" s="18"/>
      <c r="Q2002" s="18"/>
    </row>
    <row r="2003" spans="6:17">
      <c r="F2003" s="18"/>
      <c r="G2003" s="18"/>
      <c r="H2003" s="18"/>
      <c r="I2003" s="18"/>
      <c r="J2003" s="18"/>
      <c r="K2003" s="18"/>
      <c r="L2003" s="18"/>
      <c r="M2003" s="18"/>
      <c r="N2003" s="18"/>
      <c r="O2003" s="18"/>
      <c r="P2003" s="18"/>
      <c r="Q2003" s="18"/>
    </row>
    <row r="2004" spans="6:17">
      <c r="F2004" s="18"/>
      <c r="G2004" s="18"/>
      <c r="H2004" s="18"/>
      <c r="I2004" s="18"/>
      <c r="J2004" s="18"/>
      <c r="K2004" s="18"/>
      <c r="L2004" s="18"/>
      <c r="M2004" s="18"/>
      <c r="N2004" s="18"/>
      <c r="O2004" s="18"/>
      <c r="P2004" s="18"/>
      <c r="Q2004" s="18"/>
    </row>
    <row r="2005" spans="6:17">
      <c r="F2005" s="18"/>
      <c r="G2005" s="18"/>
      <c r="H2005" s="18"/>
      <c r="I2005" s="18"/>
      <c r="J2005" s="18"/>
      <c r="K2005" s="18"/>
      <c r="L2005" s="18"/>
      <c r="M2005" s="18"/>
      <c r="N2005" s="18"/>
      <c r="O2005" s="18"/>
      <c r="P2005" s="18"/>
      <c r="Q2005" s="18"/>
    </row>
    <row r="2006" spans="6:17">
      <c r="F2006" s="18"/>
      <c r="G2006" s="18"/>
      <c r="H2006" s="18"/>
      <c r="I2006" s="18"/>
      <c r="J2006" s="18"/>
      <c r="K2006" s="18"/>
      <c r="L2006" s="18"/>
      <c r="M2006" s="18"/>
      <c r="N2006" s="18"/>
      <c r="O2006" s="18"/>
      <c r="P2006" s="18"/>
      <c r="Q2006" s="18"/>
    </row>
    <row r="2007" spans="6:17">
      <c r="F2007" s="18"/>
      <c r="G2007" s="18"/>
      <c r="H2007" s="18"/>
      <c r="I2007" s="18"/>
      <c r="J2007" s="18"/>
      <c r="K2007" s="18"/>
      <c r="L2007" s="18"/>
      <c r="M2007" s="18"/>
      <c r="N2007" s="18"/>
      <c r="O2007" s="18"/>
      <c r="P2007" s="18"/>
      <c r="Q2007" s="18"/>
    </row>
    <row r="2008" spans="6:17">
      <c r="F2008" s="18"/>
      <c r="G2008" s="18"/>
      <c r="H2008" s="18"/>
      <c r="I2008" s="18"/>
      <c r="J2008" s="18"/>
      <c r="K2008" s="18"/>
      <c r="L2008" s="18"/>
      <c r="M2008" s="18"/>
      <c r="N2008" s="18"/>
      <c r="O2008" s="18"/>
      <c r="P2008" s="18"/>
      <c r="Q2008" s="18"/>
    </row>
    <row r="2009" spans="6:17">
      <c r="F2009" s="18"/>
      <c r="G2009" s="18"/>
      <c r="H2009" s="18"/>
      <c r="I2009" s="18"/>
      <c r="J2009" s="18"/>
      <c r="K2009" s="18"/>
      <c r="L2009" s="18"/>
      <c r="M2009" s="18"/>
      <c r="N2009" s="18"/>
      <c r="O2009" s="18"/>
      <c r="P2009" s="18"/>
      <c r="Q2009" s="18"/>
    </row>
    <row r="2010" spans="6:17">
      <c r="F2010" s="18"/>
      <c r="G2010" s="18"/>
      <c r="H2010" s="18"/>
      <c r="I2010" s="18"/>
      <c r="J2010" s="18"/>
      <c r="K2010" s="18"/>
      <c r="L2010" s="18"/>
      <c r="M2010" s="18"/>
      <c r="N2010" s="18"/>
      <c r="O2010" s="18"/>
      <c r="P2010" s="18"/>
      <c r="Q2010" s="18"/>
    </row>
    <row r="2011" spans="6:17">
      <c r="F2011" s="18"/>
      <c r="G2011" s="18"/>
      <c r="H2011" s="18"/>
      <c r="I2011" s="18"/>
      <c r="J2011" s="18"/>
      <c r="K2011" s="18"/>
      <c r="L2011" s="18"/>
      <c r="M2011" s="18"/>
      <c r="N2011" s="18"/>
      <c r="O2011" s="18"/>
      <c r="P2011" s="18"/>
      <c r="Q2011" s="18"/>
    </row>
    <row r="2012" spans="6:17">
      <c r="F2012" s="18"/>
      <c r="G2012" s="18"/>
      <c r="H2012" s="18"/>
      <c r="I2012" s="18"/>
      <c r="J2012" s="18"/>
      <c r="K2012" s="18"/>
      <c r="L2012" s="18"/>
      <c r="M2012" s="18"/>
      <c r="N2012" s="18"/>
      <c r="O2012" s="18"/>
      <c r="P2012" s="18"/>
      <c r="Q2012" s="18"/>
    </row>
    <row r="2013" spans="6:17">
      <c r="F2013" s="18"/>
      <c r="G2013" s="18"/>
      <c r="H2013" s="18"/>
      <c r="I2013" s="18"/>
      <c r="J2013" s="18"/>
      <c r="K2013" s="18"/>
      <c r="L2013" s="18"/>
      <c r="M2013" s="18"/>
      <c r="N2013" s="18"/>
      <c r="O2013" s="18"/>
      <c r="P2013" s="18"/>
      <c r="Q2013" s="18"/>
    </row>
    <row r="2014" spans="6:17">
      <c r="F2014" s="18"/>
      <c r="G2014" s="18"/>
      <c r="H2014" s="18"/>
      <c r="I2014" s="18"/>
      <c r="J2014" s="18"/>
      <c r="K2014" s="18"/>
      <c r="L2014" s="18"/>
      <c r="M2014" s="18"/>
      <c r="N2014" s="18"/>
      <c r="O2014" s="18"/>
      <c r="P2014" s="18"/>
      <c r="Q2014" s="18"/>
    </row>
    <row r="2015" spans="6:17">
      <c r="F2015" s="18"/>
      <c r="G2015" s="18"/>
      <c r="H2015" s="18"/>
      <c r="I2015" s="18"/>
      <c r="J2015" s="18"/>
      <c r="K2015" s="18"/>
      <c r="L2015" s="18"/>
      <c r="M2015" s="18"/>
      <c r="N2015" s="18"/>
      <c r="O2015" s="18"/>
      <c r="P2015" s="18"/>
      <c r="Q2015" s="18"/>
    </row>
    <row r="2016" spans="6:17">
      <c r="F2016" s="18"/>
      <c r="G2016" s="18"/>
      <c r="H2016" s="18"/>
      <c r="I2016" s="18"/>
      <c r="J2016" s="18"/>
      <c r="K2016" s="18"/>
      <c r="L2016" s="18"/>
      <c r="M2016" s="18"/>
      <c r="N2016" s="18"/>
      <c r="O2016" s="18"/>
      <c r="P2016" s="18"/>
      <c r="Q2016" s="18"/>
    </row>
    <row r="2017" spans="6:17">
      <c r="F2017" s="18"/>
      <c r="G2017" s="18"/>
      <c r="H2017" s="18"/>
      <c r="I2017" s="18"/>
      <c r="J2017" s="18"/>
      <c r="K2017" s="18"/>
      <c r="L2017" s="18"/>
      <c r="M2017" s="18"/>
      <c r="N2017" s="18"/>
      <c r="O2017" s="18"/>
      <c r="P2017" s="18"/>
      <c r="Q2017" s="18"/>
    </row>
    <row r="2018" spans="6:17">
      <c r="F2018" s="18"/>
      <c r="G2018" s="18"/>
      <c r="H2018" s="18"/>
      <c r="I2018" s="18"/>
      <c r="J2018" s="18"/>
      <c r="K2018" s="18"/>
      <c r="L2018" s="18"/>
      <c r="M2018" s="18"/>
      <c r="N2018" s="18"/>
      <c r="O2018" s="18"/>
      <c r="P2018" s="18"/>
      <c r="Q2018" s="18"/>
    </row>
    <row r="2019" spans="6:17">
      <c r="F2019" s="18"/>
      <c r="G2019" s="18"/>
      <c r="H2019" s="18"/>
      <c r="I2019" s="18"/>
      <c r="J2019" s="18"/>
      <c r="K2019" s="18"/>
      <c r="L2019" s="18"/>
      <c r="M2019" s="18"/>
      <c r="N2019" s="18"/>
      <c r="O2019" s="18"/>
      <c r="P2019" s="18"/>
      <c r="Q2019" s="18"/>
    </row>
    <row r="2020" spans="6:17">
      <c r="F2020" s="18"/>
      <c r="G2020" s="18"/>
      <c r="H2020" s="18"/>
      <c r="I2020" s="18"/>
      <c r="J2020" s="18"/>
      <c r="K2020" s="18"/>
      <c r="L2020" s="18"/>
      <c r="M2020" s="18"/>
      <c r="N2020" s="18"/>
      <c r="O2020" s="18"/>
      <c r="P2020" s="18"/>
      <c r="Q2020" s="18"/>
    </row>
    <row r="2021" spans="6:17">
      <c r="F2021" s="18"/>
      <c r="G2021" s="18"/>
      <c r="H2021" s="18"/>
      <c r="I2021" s="18"/>
      <c r="J2021" s="18"/>
      <c r="K2021" s="18"/>
      <c r="L2021" s="18"/>
      <c r="M2021" s="18"/>
      <c r="N2021" s="18"/>
      <c r="O2021" s="18"/>
      <c r="P2021" s="18"/>
      <c r="Q2021" s="18"/>
    </row>
    <row r="2022" spans="6:17">
      <c r="F2022" s="18"/>
      <c r="G2022" s="18"/>
      <c r="H2022" s="18"/>
      <c r="I2022" s="18"/>
      <c r="J2022" s="18"/>
      <c r="K2022" s="18"/>
      <c r="L2022" s="18"/>
      <c r="M2022" s="18"/>
      <c r="N2022" s="18"/>
      <c r="O2022" s="18"/>
      <c r="P2022" s="18"/>
      <c r="Q2022" s="18"/>
    </row>
    <row r="2023" spans="6:17">
      <c r="F2023" s="18"/>
      <c r="G2023" s="18"/>
      <c r="H2023" s="18"/>
      <c r="I2023" s="18"/>
      <c r="J2023" s="18"/>
      <c r="K2023" s="18"/>
      <c r="L2023" s="18"/>
      <c r="M2023" s="18"/>
      <c r="N2023" s="18"/>
      <c r="O2023" s="18"/>
      <c r="P2023" s="18"/>
      <c r="Q2023" s="18"/>
    </row>
    <row r="2024" spans="6:17">
      <c r="F2024" s="18"/>
      <c r="G2024" s="18"/>
      <c r="H2024" s="18"/>
      <c r="I2024" s="18"/>
      <c r="J2024" s="18"/>
      <c r="K2024" s="18"/>
      <c r="L2024" s="18"/>
      <c r="M2024" s="18"/>
      <c r="N2024" s="18"/>
      <c r="O2024" s="18"/>
      <c r="P2024" s="18"/>
      <c r="Q2024" s="18"/>
    </row>
    <row r="2025" spans="6:17">
      <c r="F2025" s="18"/>
      <c r="G2025" s="18"/>
      <c r="H2025" s="18"/>
      <c r="I2025" s="18"/>
      <c r="J2025" s="18"/>
      <c r="K2025" s="18"/>
      <c r="L2025" s="18"/>
      <c r="M2025" s="18"/>
      <c r="N2025" s="18"/>
      <c r="O2025" s="18"/>
      <c r="P2025" s="18"/>
      <c r="Q2025" s="18"/>
    </row>
    <row r="2026" spans="6:17">
      <c r="F2026" s="18"/>
      <c r="G2026" s="18"/>
      <c r="H2026" s="18"/>
      <c r="I2026" s="18"/>
      <c r="J2026" s="18"/>
      <c r="K2026" s="18"/>
      <c r="L2026" s="18"/>
      <c r="M2026" s="18"/>
      <c r="N2026" s="18"/>
      <c r="O2026" s="18"/>
      <c r="P2026" s="18"/>
      <c r="Q2026" s="18"/>
    </row>
    <row r="2027" spans="6:17">
      <c r="F2027" s="18"/>
      <c r="G2027" s="18"/>
      <c r="H2027" s="18"/>
      <c r="I2027" s="18"/>
      <c r="J2027" s="18"/>
      <c r="K2027" s="18"/>
      <c r="L2027" s="18"/>
      <c r="M2027" s="18"/>
      <c r="N2027" s="18"/>
      <c r="O2027" s="18"/>
      <c r="P2027" s="18"/>
      <c r="Q2027" s="18"/>
    </row>
    <row r="2028" spans="6:17">
      <c r="F2028" s="18"/>
      <c r="G2028" s="18"/>
      <c r="H2028" s="18"/>
      <c r="I2028" s="18"/>
      <c r="J2028" s="18"/>
      <c r="K2028" s="18"/>
      <c r="L2028" s="18"/>
      <c r="M2028" s="18"/>
      <c r="N2028" s="18"/>
      <c r="O2028" s="18"/>
      <c r="P2028" s="18"/>
      <c r="Q2028" s="18"/>
    </row>
    <row r="2029" spans="6:17">
      <c r="F2029" s="18"/>
      <c r="G2029" s="18"/>
      <c r="H2029" s="18"/>
      <c r="I2029" s="18"/>
      <c r="J2029" s="18"/>
      <c r="K2029" s="18"/>
      <c r="L2029" s="18"/>
      <c r="M2029" s="18"/>
      <c r="N2029" s="18"/>
      <c r="O2029" s="18"/>
      <c r="P2029" s="18"/>
      <c r="Q2029" s="18"/>
    </row>
    <row r="2030" spans="6:17">
      <c r="F2030" s="18"/>
      <c r="G2030" s="18"/>
      <c r="H2030" s="18"/>
      <c r="I2030" s="18"/>
      <c r="J2030" s="18"/>
      <c r="K2030" s="18"/>
      <c r="L2030" s="18"/>
      <c r="M2030" s="18"/>
      <c r="N2030" s="18"/>
      <c r="O2030" s="18"/>
      <c r="P2030" s="18"/>
      <c r="Q2030" s="18"/>
    </row>
    <row r="2031" spans="6:17">
      <c r="F2031" s="18"/>
      <c r="G2031" s="18"/>
      <c r="H2031" s="18"/>
      <c r="I2031" s="18"/>
      <c r="J2031" s="18"/>
      <c r="K2031" s="18"/>
      <c r="L2031" s="18"/>
      <c r="M2031" s="18"/>
      <c r="N2031" s="18"/>
      <c r="O2031" s="18"/>
      <c r="P2031" s="18"/>
      <c r="Q2031" s="18"/>
    </row>
    <row r="2032" spans="6:17">
      <c r="F2032" s="18"/>
      <c r="G2032" s="18"/>
      <c r="H2032" s="18"/>
      <c r="I2032" s="18"/>
      <c r="J2032" s="18"/>
      <c r="K2032" s="18"/>
      <c r="L2032" s="18"/>
      <c r="M2032" s="18"/>
      <c r="N2032" s="18"/>
      <c r="O2032" s="18"/>
      <c r="P2032" s="18"/>
      <c r="Q2032" s="18"/>
    </row>
    <row r="2033" spans="6:17">
      <c r="F2033" s="18"/>
      <c r="G2033" s="18"/>
      <c r="H2033" s="18"/>
      <c r="I2033" s="18"/>
      <c r="J2033" s="18"/>
      <c r="K2033" s="18"/>
      <c r="L2033" s="18"/>
      <c r="M2033" s="18"/>
      <c r="N2033" s="18"/>
      <c r="O2033" s="18"/>
      <c r="P2033" s="18"/>
      <c r="Q2033" s="18"/>
    </row>
    <row r="2034" spans="6:17">
      <c r="F2034" s="18"/>
      <c r="G2034" s="18"/>
      <c r="H2034" s="18"/>
      <c r="I2034" s="18"/>
      <c r="J2034" s="18"/>
      <c r="K2034" s="18"/>
      <c r="L2034" s="18"/>
      <c r="M2034" s="18"/>
      <c r="N2034" s="18"/>
      <c r="O2034" s="18"/>
      <c r="P2034" s="18"/>
      <c r="Q2034" s="18"/>
    </row>
    <row r="2035" spans="6:17">
      <c r="F2035" s="18"/>
      <c r="G2035" s="18"/>
      <c r="H2035" s="18"/>
      <c r="I2035" s="18"/>
      <c r="J2035" s="18"/>
      <c r="K2035" s="18"/>
      <c r="L2035" s="18"/>
      <c r="M2035" s="18"/>
      <c r="N2035" s="18"/>
      <c r="O2035" s="18"/>
      <c r="P2035" s="18"/>
      <c r="Q2035" s="18"/>
    </row>
    <row r="2036" spans="6:17">
      <c r="F2036" s="18"/>
      <c r="G2036" s="18"/>
      <c r="H2036" s="18"/>
      <c r="I2036" s="18"/>
      <c r="J2036" s="18"/>
      <c r="K2036" s="18"/>
      <c r="L2036" s="18"/>
      <c r="M2036" s="18"/>
      <c r="N2036" s="18"/>
      <c r="O2036" s="18"/>
      <c r="P2036" s="18"/>
      <c r="Q2036" s="18"/>
    </row>
    <row r="2037" spans="6:17">
      <c r="F2037" s="18"/>
      <c r="G2037" s="18"/>
      <c r="H2037" s="18"/>
      <c r="I2037" s="18"/>
      <c r="J2037" s="18"/>
      <c r="K2037" s="18"/>
      <c r="L2037" s="18"/>
      <c r="M2037" s="18"/>
      <c r="N2037" s="18"/>
      <c r="O2037" s="18"/>
      <c r="P2037" s="18"/>
      <c r="Q2037" s="18"/>
    </row>
    <row r="2038" spans="6:17">
      <c r="F2038" s="18"/>
      <c r="G2038" s="18"/>
      <c r="H2038" s="18"/>
      <c r="I2038" s="18"/>
      <c r="J2038" s="18"/>
      <c r="K2038" s="18"/>
      <c r="L2038" s="18"/>
      <c r="M2038" s="18"/>
      <c r="N2038" s="18"/>
      <c r="O2038" s="18"/>
      <c r="P2038" s="18"/>
      <c r="Q2038" s="18"/>
    </row>
    <row r="2039" spans="6:17">
      <c r="F2039" s="18"/>
      <c r="G2039" s="18"/>
      <c r="H2039" s="18"/>
      <c r="I2039" s="18"/>
      <c r="J2039" s="18"/>
      <c r="K2039" s="18"/>
      <c r="L2039" s="18"/>
      <c r="M2039" s="18"/>
      <c r="N2039" s="18"/>
      <c r="O2039" s="18"/>
      <c r="P2039" s="18"/>
      <c r="Q2039" s="18"/>
    </row>
    <row r="2040" spans="6:17">
      <c r="F2040" s="18"/>
      <c r="G2040" s="18"/>
      <c r="H2040" s="18"/>
      <c r="I2040" s="18"/>
      <c r="J2040" s="18"/>
      <c r="K2040" s="18"/>
      <c r="L2040" s="18"/>
      <c r="M2040" s="18"/>
      <c r="N2040" s="18"/>
      <c r="O2040" s="18"/>
      <c r="P2040" s="18"/>
      <c r="Q2040" s="18"/>
    </row>
    <row r="2041" spans="6:17">
      <c r="F2041" s="18"/>
      <c r="G2041" s="18"/>
      <c r="H2041" s="18"/>
      <c r="I2041" s="18"/>
      <c r="J2041" s="18"/>
      <c r="K2041" s="18"/>
      <c r="L2041" s="18"/>
      <c r="M2041" s="18"/>
      <c r="N2041" s="18"/>
      <c r="O2041" s="18"/>
      <c r="P2041" s="18"/>
      <c r="Q2041" s="18"/>
    </row>
    <row r="2042" spans="6:17">
      <c r="F2042" s="18"/>
      <c r="G2042" s="18"/>
      <c r="H2042" s="18"/>
      <c r="I2042" s="18"/>
      <c r="J2042" s="18"/>
      <c r="K2042" s="18"/>
      <c r="L2042" s="18"/>
      <c r="M2042" s="18"/>
      <c r="N2042" s="18"/>
      <c r="O2042" s="18"/>
      <c r="P2042" s="18"/>
      <c r="Q2042" s="18"/>
    </row>
    <row r="2043" spans="6:17">
      <c r="F2043" s="18"/>
      <c r="G2043" s="18"/>
      <c r="H2043" s="18"/>
      <c r="I2043" s="18"/>
      <c r="J2043" s="18"/>
      <c r="K2043" s="18"/>
      <c r="L2043" s="18"/>
      <c r="M2043" s="18"/>
      <c r="N2043" s="18"/>
      <c r="O2043" s="18"/>
      <c r="P2043" s="18"/>
      <c r="Q2043" s="18"/>
    </row>
    <row r="2044" spans="6:17">
      <c r="F2044" s="18"/>
      <c r="G2044" s="18"/>
      <c r="H2044" s="18"/>
      <c r="I2044" s="18"/>
      <c r="J2044" s="18"/>
      <c r="K2044" s="18"/>
      <c r="L2044" s="18"/>
      <c r="M2044" s="18"/>
      <c r="N2044" s="18"/>
      <c r="O2044" s="18"/>
      <c r="P2044" s="18"/>
      <c r="Q2044" s="18"/>
    </row>
    <row r="2045" spans="6:17">
      <c r="F2045" s="18"/>
      <c r="G2045" s="18"/>
      <c r="H2045" s="18"/>
      <c r="I2045" s="18"/>
      <c r="J2045" s="18"/>
      <c r="K2045" s="18"/>
      <c r="L2045" s="18"/>
      <c r="M2045" s="18"/>
      <c r="N2045" s="18"/>
      <c r="O2045" s="18"/>
      <c r="P2045" s="18"/>
      <c r="Q2045" s="18"/>
    </row>
    <row r="2046" spans="6:17">
      <c r="F2046" s="18"/>
      <c r="G2046" s="18"/>
      <c r="H2046" s="18"/>
      <c r="I2046" s="18"/>
      <c r="J2046" s="18"/>
      <c r="K2046" s="18"/>
      <c r="L2046" s="18"/>
      <c r="M2046" s="18"/>
      <c r="N2046" s="18"/>
      <c r="O2046" s="18"/>
      <c r="P2046" s="18"/>
      <c r="Q2046" s="18"/>
    </row>
    <row r="2047" spans="6:17">
      <c r="F2047" s="18"/>
      <c r="G2047" s="18"/>
      <c r="H2047" s="18"/>
      <c r="I2047" s="18"/>
      <c r="J2047" s="18"/>
      <c r="K2047" s="18"/>
      <c r="L2047" s="18"/>
      <c r="M2047" s="18"/>
      <c r="N2047" s="18"/>
      <c r="O2047" s="18"/>
      <c r="P2047" s="18"/>
      <c r="Q2047" s="18"/>
    </row>
    <row r="2048" spans="6:17">
      <c r="F2048" s="18"/>
      <c r="G2048" s="18"/>
      <c r="H2048" s="18"/>
      <c r="I2048" s="18"/>
      <c r="J2048" s="18"/>
      <c r="K2048" s="18"/>
      <c r="L2048" s="18"/>
      <c r="M2048" s="18"/>
      <c r="N2048" s="18"/>
      <c r="O2048" s="18"/>
      <c r="P2048" s="18"/>
      <c r="Q2048" s="18"/>
    </row>
    <row r="2049" spans="6:17">
      <c r="F2049" s="18"/>
      <c r="G2049" s="18"/>
      <c r="H2049" s="18"/>
      <c r="I2049" s="18"/>
      <c r="J2049" s="18"/>
      <c r="K2049" s="18"/>
      <c r="L2049" s="18"/>
      <c r="M2049" s="18"/>
      <c r="N2049" s="18"/>
      <c r="O2049" s="18"/>
      <c r="P2049" s="18"/>
      <c r="Q2049" s="18"/>
    </row>
    <row r="2050" spans="6:17">
      <c r="F2050" s="18"/>
      <c r="G2050" s="18"/>
      <c r="H2050" s="18"/>
      <c r="I2050" s="18"/>
      <c r="J2050" s="18"/>
      <c r="K2050" s="18"/>
      <c r="L2050" s="18"/>
      <c r="M2050" s="18"/>
      <c r="N2050" s="18"/>
      <c r="O2050" s="18"/>
      <c r="P2050" s="18"/>
      <c r="Q2050" s="18"/>
    </row>
    <row r="2051" spans="6:17">
      <c r="F2051" s="18"/>
      <c r="G2051" s="18"/>
      <c r="H2051" s="18"/>
      <c r="I2051" s="18"/>
      <c r="J2051" s="18"/>
      <c r="K2051" s="18"/>
      <c r="L2051" s="18"/>
      <c r="M2051" s="18"/>
      <c r="N2051" s="18"/>
      <c r="O2051" s="18"/>
      <c r="P2051" s="18"/>
      <c r="Q2051" s="18"/>
    </row>
    <row r="2052" spans="6:17">
      <c r="F2052" s="18"/>
      <c r="G2052" s="18"/>
      <c r="H2052" s="18"/>
      <c r="I2052" s="18"/>
      <c r="J2052" s="18"/>
      <c r="K2052" s="18"/>
      <c r="L2052" s="18"/>
      <c r="M2052" s="18"/>
      <c r="N2052" s="18"/>
      <c r="O2052" s="18"/>
      <c r="P2052" s="18"/>
      <c r="Q2052" s="18"/>
    </row>
    <row r="2053" spans="6:17">
      <c r="F2053" s="18"/>
      <c r="G2053" s="18"/>
      <c r="H2053" s="18"/>
      <c r="I2053" s="18"/>
      <c r="J2053" s="18"/>
      <c r="K2053" s="18"/>
      <c r="L2053" s="18"/>
      <c r="M2053" s="18"/>
      <c r="N2053" s="18"/>
      <c r="O2053" s="18"/>
      <c r="P2053" s="18"/>
      <c r="Q2053" s="18"/>
    </row>
    <row r="2054" spans="6:17">
      <c r="F2054" s="18"/>
      <c r="G2054" s="18"/>
      <c r="H2054" s="18"/>
      <c r="I2054" s="18"/>
      <c r="J2054" s="18"/>
      <c r="K2054" s="18"/>
      <c r="L2054" s="18"/>
      <c r="M2054" s="18"/>
      <c r="N2054" s="18"/>
      <c r="O2054" s="18"/>
      <c r="P2054" s="18"/>
      <c r="Q2054" s="18"/>
    </row>
    <row r="2055" spans="6:17">
      <c r="F2055" s="18"/>
      <c r="G2055" s="18"/>
      <c r="H2055" s="18"/>
      <c r="I2055" s="18"/>
      <c r="J2055" s="18"/>
      <c r="K2055" s="18"/>
      <c r="L2055" s="18"/>
      <c r="M2055" s="18"/>
      <c r="N2055" s="18"/>
      <c r="O2055" s="18"/>
      <c r="P2055" s="18"/>
      <c r="Q2055" s="18"/>
    </row>
    <row r="2056" spans="6:17">
      <c r="F2056" s="18"/>
      <c r="G2056" s="18"/>
      <c r="H2056" s="18"/>
      <c r="I2056" s="18"/>
      <c r="J2056" s="18"/>
      <c r="K2056" s="18"/>
      <c r="L2056" s="18"/>
      <c r="M2056" s="18"/>
      <c r="N2056" s="18"/>
      <c r="O2056" s="18"/>
      <c r="P2056" s="18"/>
      <c r="Q2056" s="18"/>
    </row>
    <row r="2057" spans="6:17">
      <c r="F2057" s="18"/>
      <c r="G2057" s="18"/>
      <c r="H2057" s="18"/>
      <c r="I2057" s="18"/>
      <c r="J2057" s="18"/>
      <c r="K2057" s="18"/>
      <c r="L2057" s="18"/>
      <c r="M2057" s="18"/>
      <c r="N2057" s="18"/>
      <c r="O2057" s="18"/>
      <c r="P2057" s="18"/>
      <c r="Q2057" s="18"/>
    </row>
    <row r="2058" spans="6:17">
      <c r="F2058" s="18"/>
      <c r="G2058" s="18"/>
      <c r="H2058" s="18"/>
      <c r="I2058" s="18"/>
      <c r="J2058" s="18"/>
      <c r="K2058" s="18"/>
      <c r="L2058" s="18"/>
      <c r="M2058" s="18"/>
      <c r="N2058" s="18"/>
      <c r="O2058" s="18"/>
      <c r="P2058" s="18"/>
      <c r="Q2058" s="18"/>
    </row>
    <row r="2059" spans="6:17">
      <c r="F2059" s="18"/>
      <c r="G2059" s="18"/>
      <c r="H2059" s="18"/>
      <c r="I2059" s="18"/>
      <c r="J2059" s="18"/>
      <c r="K2059" s="18"/>
      <c r="L2059" s="18"/>
      <c r="M2059" s="18"/>
      <c r="N2059" s="18"/>
      <c r="O2059" s="18"/>
      <c r="P2059" s="18"/>
      <c r="Q2059" s="18"/>
    </row>
    <row r="2060" spans="6:17">
      <c r="F2060" s="18"/>
      <c r="G2060" s="18"/>
      <c r="H2060" s="18"/>
      <c r="I2060" s="18"/>
      <c r="J2060" s="18"/>
      <c r="K2060" s="18"/>
      <c r="L2060" s="18"/>
      <c r="M2060" s="18"/>
      <c r="N2060" s="18"/>
      <c r="O2060" s="18"/>
      <c r="P2060" s="18"/>
      <c r="Q2060" s="18"/>
    </row>
    <row r="2061" spans="6:17">
      <c r="F2061" s="18"/>
      <c r="G2061" s="18"/>
      <c r="H2061" s="18"/>
      <c r="I2061" s="18"/>
      <c r="J2061" s="18"/>
      <c r="K2061" s="18"/>
      <c r="L2061" s="18"/>
      <c r="M2061" s="18"/>
      <c r="N2061" s="18"/>
      <c r="O2061" s="18"/>
      <c r="P2061" s="18"/>
      <c r="Q2061" s="18"/>
    </row>
    <row r="2062" spans="6:17">
      <c r="F2062" s="18"/>
      <c r="G2062" s="18"/>
      <c r="H2062" s="18"/>
      <c r="I2062" s="18"/>
      <c r="J2062" s="18"/>
      <c r="K2062" s="18"/>
      <c r="L2062" s="18"/>
      <c r="M2062" s="18"/>
      <c r="N2062" s="18"/>
      <c r="O2062" s="18"/>
      <c r="P2062" s="18"/>
      <c r="Q2062" s="18"/>
    </row>
    <row r="2063" spans="6:17">
      <c r="F2063" s="18"/>
      <c r="G2063" s="18"/>
      <c r="H2063" s="18"/>
      <c r="I2063" s="18"/>
      <c r="J2063" s="18"/>
      <c r="K2063" s="18"/>
      <c r="L2063" s="18"/>
      <c r="M2063" s="18"/>
      <c r="N2063" s="18"/>
      <c r="O2063" s="18"/>
      <c r="P2063" s="18"/>
      <c r="Q2063" s="18"/>
    </row>
    <row r="2064" spans="6:17">
      <c r="F2064" s="18"/>
      <c r="G2064" s="18"/>
      <c r="H2064" s="18"/>
      <c r="I2064" s="18"/>
      <c r="J2064" s="18"/>
      <c r="K2064" s="18"/>
      <c r="L2064" s="18"/>
      <c r="M2064" s="18"/>
      <c r="N2064" s="18"/>
      <c r="O2064" s="18"/>
      <c r="P2064" s="18"/>
      <c r="Q2064" s="18"/>
    </row>
    <row r="2065" spans="6:17">
      <c r="F2065" s="18"/>
      <c r="G2065" s="18"/>
      <c r="H2065" s="18"/>
      <c r="I2065" s="18"/>
      <c r="J2065" s="18"/>
      <c r="K2065" s="18"/>
      <c r="L2065" s="18"/>
      <c r="M2065" s="18"/>
      <c r="N2065" s="18"/>
      <c r="O2065" s="18"/>
      <c r="P2065" s="18"/>
      <c r="Q2065" s="18"/>
    </row>
    <row r="2066" spans="6:17">
      <c r="F2066" s="18"/>
      <c r="G2066" s="18"/>
      <c r="H2066" s="18"/>
      <c r="I2066" s="18"/>
      <c r="J2066" s="18"/>
      <c r="K2066" s="18"/>
      <c r="L2066" s="18"/>
      <c r="M2066" s="18"/>
      <c r="N2066" s="18"/>
      <c r="O2066" s="18"/>
      <c r="P2066" s="18"/>
      <c r="Q2066" s="18"/>
    </row>
    <row r="2067" spans="6:17">
      <c r="F2067" s="18"/>
      <c r="G2067" s="18"/>
      <c r="H2067" s="18"/>
      <c r="I2067" s="18"/>
      <c r="J2067" s="18"/>
      <c r="K2067" s="18"/>
      <c r="L2067" s="18"/>
      <c r="M2067" s="18"/>
      <c r="N2067" s="18"/>
      <c r="O2067" s="18"/>
      <c r="P2067" s="18"/>
      <c r="Q2067" s="18"/>
    </row>
    <row r="2068" spans="6:17">
      <c r="F2068" s="18"/>
      <c r="G2068" s="18"/>
      <c r="H2068" s="18"/>
      <c r="I2068" s="18"/>
      <c r="J2068" s="18"/>
      <c r="K2068" s="18"/>
      <c r="L2068" s="18"/>
      <c r="M2068" s="18"/>
      <c r="N2068" s="18"/>
      <c r="O2068" s="18"/>
      <c r="P2068" s="18"/>
      <c r="Q2068" s="18"/>
    </row>
    <row r="2069" spans="6:17">
      <c r="F2069" s="18"/>
      <c r="G2069" s="18"/>
      <c r="H2069" s="18"/>
      <c r="I2069" s="18"/>
      <c r="J2069" s="18"/>
      <c r="K2069" s="18"/>
      <c r="L2069" s="18"/>
      <c r="M2069" s="18"/>
      <c r="N2069" s="18"/>
      <c r="O2069" s="18"/>
      <c r="P2069" s="18"/>
      <c r="Q2069" s="18"/>
    </row>
    <row r="2070" spans="6:17">
      <c r="F2070" s="18"/>
      <c r="G2070" s="18"/>
      <c r="H2070" s="18"/>
      <c r="I2070" s="18"/>
      <c r="J2070" s="18"/>
      <c r="K2070" s="18"/>
      <c r="L2070" s="18"/>
      <c r="M2070" s="18"/>
      <c r="N2070" s="18"/>
      <c r="O2070" s="18"/>
      <c r="P2070" s="18"/>
      <c r="Q2070" s="18"/>
    </row>
    <row r="2071" spans="6:17">
      <c r="F2071" s="18"/>
      <c r="G2071" s="18"/>
      <c r="H2071" s="18"/>
      <c r="I2071" s="18"/>
      <c r="J2071" s="18"/>
      <c r="K2071" s="18"/>
      <c r="L2071" s="18"/>
      <c r="M2071" s="18"/>
      <c r="N2071" s="18"/>
      <c r="O2071" s="18"/>
      <c r="P2071" s="18"/>
      <c r="Q2071" s="18"/>
    </row>
    <row r="2072" spans="6:17">
      <c r="F2072" s="18"/>
      <c r="G2072" s="18"/>
      <c r="H2072" s="18"/>
      <c r="I2072" s="18"/>
      <c r="J2072" s="18"/>
      <c r="K2072" s="18"/>
      <c r="L2072" s="18"/>
      <c r="M2072" s="18"/>
      <c r="N2072" s="18"/>
      <c r="O2072" s="18"/>
      <c r="P2072" s="18"/>
      <c r="Q2072" s="18"/>
    </row>
    <row r="2073" spans="6:17">
      <c r="F2073" s="18"/>
      <c r="G2073" s="18"/>
      <c r="H2073" s="18"/>
      <c r="I2073" s="18"/>
      <c r="J2073" s="18"/>
      <c r="K2073" s="18"/>
      <c r="L2073" s="18"/>
      <c r="M2073" s="18"/>
      <c r="N2073" s="18"/>
      <c r="O2073" s="18"/>
      <c r="P2073" s="18"/>
      <c r="Q2073" s="18"/>
    </row>
    <row r="2074" spans="6:17">
      <c r="F2074" s="18"/>
      <c r="G2074" s="18"/>
      <c r="H2074" s="18"/>
      <c r="I2074" s="18"/>
      <c r="J2074" s="18"/>
      <c r="K2074" s="18"/>
      <c r="L2074" s="18"/>
      <c r="M2074" s="18"/>
      <c r="N2074" s="18"/>
      <c r="O2074" s="18"/>
      <c r="P2074" s="18"/>
      <c r="Q2074" s="18"/>
    </row>
    <row r="2075" spans="6:17">
      <c r="F2075" s="18"/>
      <c r="G2075" s="18"/>
      <c r="H2075" s="18"/>
      <c r="I2075" s="18"/>
      <c r="J2075" s="18"/>
      <c r="K2075" s="18"/>
      <c r="L2075" s="18"/>
      <c r="M2075" s="18"/>
      <c r="N2075" s="18"/>
      <c r="O2075" s="18"/>
      <c r="P2075" s="18"/>
      <c r="Q2075" s="18"/>
    </row>
    <row r="2076" spans="6:17">
      <c r="F2076" s="18"/>
      <c r="G2076" s="18"/>
      <c r="H2076" s="18"/>
      <c r="I2076" s="18"/>
      <c r="J2076" s="18"/>
      <c r="K2076" s="18"/>
      <c r="L2076" s="18"/>
      <c r="M2076" s="18"/>
      <c r="N2076" s="18"/>
      <c r="O2076" s="18"/>
      <c r="P2076" s="18"/>
      <c r="Q2076" s="18"/>
    </row>
    <row r="2077" spans="6:17">
      <c r="F2077" s="18"/>
      <c r="G2077" s="18"/>
      <c r="H2077" s="18"/>
      <c r="I2077" s="18"/>
      <c r="J2077" s="18"/>
      <c r="K2077" s="18"/>
      <c r="L2077" s="18"/>
      <c r="M2077" s="18"/>
      <c r="N2077" s="18"/>
      <c r="O2077" s="18"/>
      <c r="P2077" s="18"/>
      <c r="Q2077" s="18"/>
    </row>
    <row r="2078" spans="6:17">
      <c r="F2078" s="18"/>
      <c r="G2078" s="18"/>
      <c r="H2078" s="18"/>
      <c r="I2078" s="18"/>
      <c r="J2078" s="18"/>
      <c r="K2078" s="18"/>
      <c r="L2078" s="18"/>
      <c r="M2078" s="18"/>
      <c r="N2078" s="18"/>
      <c r="O2078" s="18"/>
      <c r="P2078" s="18"/>
      <c r="Q2078" s="18"/>
    </row>
    <row r="2079" spans="6:17">
      <c r="F2079" s="18"/>
      <c r="G2079" s="18"/>
      <c r="H2079" s="18"/>
      <c r="I2079" s="18"/>
      <c r="J2079" s="18"/>
      <c r="K2079" s="18"/>
      <c r="L2079" s="18"/>
      <c r="M2079" s="18"/>
      <c r="N2079" s="18"/>
      <c r="O2079" s="18"/>
      <c r="P2079" s="18"/>
      <c r="Q2079" s="18"/>
    </row>
    <row r="2080" spans="6:17">
      <c r="F2080" s="18"/>
      <c r="G2080" s="18"/>
      <c r="H2080" s="18"/>
      <c r="I2080" s="18"/>
      <c r="J2080" s="18"/>
      <c r="K2080" s="18"/>
      <c r="L2080" s="18"/>
      <c r="M2080" s="18"/>
      <c r="N2080" s="18"/>
      <c r="O2080" s="18"/>
      <c r="P2080" s="18"/>
      <c r="Q2080" s="18"/>
    </row>
    <row r="2081" spans="6:17">
      <c r="F2081" s="18"/>
      <c r="G2081" s="18"/>
      <c r="H2081" s="18"/>
      <c r="I2081" s="18"/>
      <c r="J2081" s="18"/>
      <c r="K2081" s="18"/>
      <c r="L2081" s="18"/>
      <c r="M2081" s="18"/>
      <c r="N2081" s="18"/>
      <c r="O2081" s="18"/>
      <c r="P2081" s="18"/>
      <c r="Q2081" s="18"/>
    </row>
    <row r="2082" spans="6:17">
      <c r="F2082" s="18"/>
      <c r="G2082" s="18"/>
      <c r="H2082" s="18"/>
      <c r="I2082" s="18"/>
      <c r="J2082" s="18"/>
      <c r="K2082" s="18"/>
      <c r="L2082" s="18"/>
      <c r="M2082" s="18"/>
      <c r="N2082" s="18"/>
      <c r="O2082" s="18"/>
      <c r="P2082" s="18"/>
      <c r="Q2082" s="18"/>
    </row>
    <row r="2083" spans="6:17">
      <c r="F2083" s="18"/>
      <c r="G2083" s="18"/>
      <c r="H2083" s="18"/>
      <c r="I2083" s="18"/>
      <c r="J2083" s="18"/>
      <c r="K2083" s="18"/>
      <c r="L2083" s="18"/>
      <c r="M2083" s="18"/>
      <c r="N2083" s="18"/>
      <c r="O2083" s="18"/>
      <c r="P2083" s="18"/>
      <c r="Q2083" s="18"/>
    </row>
    <row r="2084" spans="6:17">
      <c r="F2084" s="18"/>
      <c r="G2084" s="18"/>
      <c r="H2084" s="18"/>
      <c r="I2084" s="18"/>
      <c r="J2084" s="18"/>
      <c r="K2084" s="18"/>
      <c r="L2084" s="18"/>
      <c r="M2084" s="18"/>
      <c r="N2084" s="18"/>
      <c r="O2084" s="18"/>
      <c r="P2084" s="18"/>
      <c r="Q2084" s="18"/>
    </row>
    <row r="2085" spans="6:17">
      <c r="F2085" s="18"/>
      <c r="G2085" s="18"/>
      <c r="H2085" s="18"/>
      <c r="I2085" s="18"/>
      <c r="J2085" s="18"/>
      <c r="K2085" s="18"/>
      <c r="L2085" s="18"/>
      <c r="M2085" s="18"/>
      <c r="N2085" s="18"/>
      <c r="O2085" s="18"/>
      <c r="P2085" s="18"/>
      <c r="Q2085" s="18"/>
    </row>
    <row r="2086" spans="6:17">
      <c r="F2086" s="18"/>
      <c r="G2086" s="18"/>
      <c r="H2086" s="18"/>
      <c r="I2086" s="18"/>
      <c r="J2086" s="18"/>
      <c r="K2086" s="18"/>
      <c r="L2086" s="18"/>
      <c r="M2086" s="18"/>
      <c r="N2086" s="18"/>
      <c r="O2086" s="18"/>
      <c r="P2086" s="18"/>
      <c r="Q2086" s="18"/>
    </row>
    <row r="2087" spans="6:17">
      <c r="F2087" s="18"/>
      <c r="G2087" s="18"/>
      <c r="H2087" s="18"/>
      <c r="I2087" s="18"/>
      <c r="J2087" s="18"/>
      <c r="K2087" s="18"/>
      <c r="L2087" s="18"/>
      <c r="M2087" s="18"/>
      <c r="N2087" s="18"/>
      <c r="O2087" s="18"/>
      <c r="P2087" s="18"/>
      <c r="Q2087" s="18"/>
    </row>
    <row r="2088" spans="6:17">
      <c r="F2088" s="18"/>
      <c r="G2088" s="18"/>
      <c r="H2088" s="18"/>
      <c r="I2088" s="18"/>
      <c r="J2088" s="18"/>
      <c r="K2088" s="18"/>
      <c r="L2088" s="18"/>
      <c r="M2088" s="18"/>
      <c r="N2088" s="18"/>
      <c r="O2088" s="18"/>
      <c r="P2088" s="18"/>
      <c r="Q2088" s="18"/>
    </row>
    <row r="2089" spans="6:17">
      <c r="F2089" s="18"/>
      <c r="G2089" s="18"/>
      <c r="H2089" s="18"/>
      <c r="I2089" s="18"/>
      <c r="J2089" s="18"/>
      <c r="K2089" s="18"/>
      <c r="L2089" s="18"/>
      <c r="M2089" s="18"/>
      <c r="N2089" s="18"/>
      <c r="O2089" s="18"/>
      <c r="P2089" s="18"/>
      <c r="Q2089" s="18"/>
    </row>
    <row r="2090" spans="6:17">
      <c r="F2090" s="18"/>
      <c r="G2090" s="18"/>
      <c r="H2090" s="18"/>
      <c r="I2090" s="18"/>
      <c r="J2090" s="18"/>
      <c r="K2090" s="18"/>
      <c r="L2090" s="18"/>
      <c r="M2090" s="18"/>
      <c r="N2090" s="18"/>
      <c r="O2090" s="18"/>
      <c r="P2090" s="18"/>
      <c r="Q2090" s="18"/>
    </row>
    <row r="2091" spans="6:17">
      <c r="F2091" s="18"/>
      <c r="G2091" s="18"/>
      <c r="H2091" s="18"/>
      <c r="I2091" s="18"/>
      <c r="J2091" s="18"/>
      <c r="K2091" s="18"/>
      <c r="L2091" s="18"/>
      <c r="M2091" s="18"/>
      <c r="N2091" s="18"/>
      <c r="O2091" s="18"/>
      <c r="P2091" s="18"/>
      <c r="Q2091" s="18"/>
    </row>
    <row r="2092" spans="6:17">
      <c r="F2092" s="18"/>
      <c r="G2092" s="18"/>
      <c r="H2092" s="18"/>
      <c r="I2092" s="18"/>
      <c r="J2092" s="18"/>
      <c r="K2092" s="18"/>
      <c r="L2092" s="18"/>
      <c r="M2092" s="18"/>
      <c r="N2092" s="18"/>
      <c r="O2092" s="18"/>
      <c r="P2092" s="18"/>
      <c r="Q2092" s="18"/>
    </row>
    <row r="2093" spans="6:17">
      <c r="F2093" s="18"/>
      <c r="G2093" s="18"/>
      <c r="H2093" s="18"/>
      <c r="I2093" s="18"/>
      <c r="J2093" s="18"/>
      <c r="K2093" s="18"/>
      <c r="L2093" s="18"/>
      <c r="M2093" s="18"/>
      <c r="N2093" s="18"/>
      <c r="O2093" s="18"/>
      <c r="P2093" s="18"/>
      <c r="Q2093" s="18"/>
    </row>
    <row r="2094" spans="6:17">
      <c r="F2094" s="18"/>
      <c r="G2094" s="18"/>
      <c r="H2094" s="18"/>
      <c r="I2094" s="18"/>
      <c r="J2094" s="18"/>
      <c r="K2094" s="18"/>
      <c r="L2094" s="18"/>
      <c r="M2094" s="18"/>
      <c r="N2094" s="18"/>
      <c r="O2094" s="18"/>
      <c r="P2094" s="18"/>
      <c r="Q2094" s="18"/>
    </row>
    <row r="2095" spans="6:17">
      <c r="F2095" s="18"/>
      <c r="G2095" s="18"/>
      <c r="H2095" s="18"/>
      <c r="I2095" s="18"/>
      <c r="J2095" s="18"/>
      <c r="K2095" s="18"/>
      <c r="L2095" s="18"/>
      <c r="M2095" s="18"/>
      <c r="N2095" s="18"/>
      <c r="O2095" s="18"/>
      <c r="P2095" s="18"/>
      <c r="Q2095" s="18"/>
    </row>
    <row r="2096" spans="6:17">
      <c r="F2096" s="18"/>
      <c r="G2096" s="18"/>
      <c r="H2096" s="18"/>
      <c r="I2096" s="18"/>
      <c r="J2096" s="18"/>
      <c r="K2096" s="18"/>
      <c r="L2096" s="18"/>
      <c r="M2096" s="18"/>
      <c r="N2096" s="18"/>
      <c r="O2096" s="18"/>
      <c r="P2096" s="18"/>
      <c r="Q2096" s="18"/>
    </row>
    <row r="2097" spans="6:17">
      <c r="F2097" s="18"/>
      <c r="G2097" s="18"/>
      <c r="H2097" s="18"/>
      <c r="I2097" s="18"/>
      <c r="J2097" s="18"/>
      <c r="K2097" s="18"/>
      <c r="L2097" s="18"/>
      <c r="M2097" s="18"/>
      <c r="N2097" s="18"/>
      <c r="O2097" s="18"/>
      <c r="P2097" s="18"/>
      <c r="Q2097" s="18"/>
    </row>
    <row r="2098" spans="6:17">
      <c r="F2098" s="18"/>
      <c r="G2098" s="18"/>
      <c r="H2098" s="18"/>
      <c r="I2098" s="18"/>
      <c r="J2098" s="18"/>
      <c r="K2098" s="18"/>
      <c r="L2098" s="18"/>
      <c r="M2098" s="18"/>
      <c r="N2098" s="18"/>
      <c r="O2098" s="18"/>
      <c r="P2098" s="18"/>
      <c r="Q2098" s="18"/>
    </row>
    <row r="2099" spans="6:17">
      <c r="F2099" s="18"/>
      <c r="G2099" s="18"/>
      <c r="H2099" s="18"/>
      <c r="I2099" s="18"/>
      <c r="J2099" s="18"/>
      <c r="K2099" s="18"/>
      <c r="L2099" s="18"/>
      <c r="M2099" s="18"/>
      <c r="N2099" s="18"/>
      <c r="O2099" s="18"/>
      <c r="P2099" s="18"/>
      <c r="Q2099" s="18"/>
    </row>
    <row r="2100" spans="6:17">
      <c r="F2100" s="18"/>
      <c r="G2100" s="18"/>
      <c r="H2100" s="18"/>
      <c r="I2100" s="18"/>
      <c r="J2100" s="18"/>
      <c r="K2100" s="18"/>
      <c r="L2100" s="18"/>
      <c r="M2100" s="18"/>
      <c r="N2100" s="18"/>
      <c r="O2100" s="18"/>
      <c r="P2100" s="18"/>
      <c r="Q2100" s="18"/>
    </row>
    <row r="2101" spans="6:17">
      <c r="F2101" s="18"/>
      <c r="G2101" s="18"/>
      <c r="H2101" s="18"/>
      <c r="I2101" s="18"/>
      <c r="J2101" s="18"/>
      <c r="K2101" s="18"/>
      <c r="L2101" s="18"/>
      <c r="M2101" s="18"/>
      <c r="N2101" s="18"/>
      <c r="O2101" s="18"/>
      <c r="P2101" s="18"/>
      <c r="Q2101" s="18"/>
    </row>
    <row r="2102" spans="6:17">
      <c r="F2102" s="18"/>
      <c r="G2102" s="18"/>
      <c r="H2102" s="18"/>
      <c r="I2102" s="18"/>
      <c r="J2102" s="18"/>
      <c r="K2102" s="18"/>
      <c r="L2102" s="18"/>
      <c r="M2102" s="18"/>
      <c r="N2102" s="18"/>
      <c r="O2102" s="18"/>
      <c r="P2102" s="18"/>
      <c r="Q2102" s="18"/>
    </row>
    <row r="2103" spans="6:17">
      <c r="F2103" s="18"/>
      <c r="G2103" s="18"/>
      <c r="H2103" s="18"/>
      <c r="I2103" s="18"/>
      <c r="J2103" s="18"/>
      <c r="K2103" s="18"/>
      <c r="L2103" s="18"/>
      <c r="M2103" s="18"/>
      <c r="N2103" s="18"/>
      <c r="O2103" s="18"/>
      <c r="P2103" s="18"/>
      <c r="Q2103" s="18"/>
    </row>
    <row r="2104" spans="6:17">
      <c r="F2104" s="18"/>
      <c r="G2104" s="18"/>
      <c r="H2104" s="18"/>
      <c r="I2104" s="18"/>
      <c r="J2104" s="18"/>
      <c r="K2104" s="18"/>
      <c r="L2104" s="18"/>
      <c r="M2104" s="18"/>
      <c r="N2104" s="18"/>
      <c r="O2104" s="18"/>
      <c r="P2104" s="18"/>
      <c r="Q2104" s="18"/>
    </row>
    <row r="2105" spans="6:17">
      <c r="F2105" s="18"/>
      <c r="G2105" s="18"/>
      <c r="H2105" s="18"/>
      <c r="I2105" s="18"/>
      <c r="J2105" s="18"/>
      <c r="K2105" s="18"/>
      <c r="L2105" s="18"/>
      <c r="M2105" s="18"/>
      <c r="N2105" s="18"/>
      <c r="O2105" s="18"/>
      <c r="P2105" s="18"/>
      <c r="Q2105" s="18"/>
    </row>
    <row r="2106" spans="6:17">
      <c r="F2106" s="18"/>
      <c r="G2106" s="18"/>
      <c r="H2106" s="18"/>
      <c r="I2106" s="18"/>
      <c r="J2106" s="18"/>
      <c r="K2106" s="18"/>
      <c r="L2106" s="18"/>
      <c r="M2106" s="18"/>
      <c r="N2106" s="18"/>
      <c r="O2106" s="18"/>
      <c r="P2106" s="18"/>
      <c r="Q2106" s="18"/>
    </row>
    <row r="2107" spans="6:17">
      <c r="F2107" s="18"/>
      <c r="G2107" s="18"/>
      <c r="H2107" s="18"/>
      <c r="I2107" s="18"/>
      <c r="J2107" s="18"/>
      <c r="K2107" s="18"/>
      <c r="L2107" s="18"/>
      <c r="M2107" s="18"/>
      <c r="N2107" s="18"/>
      <c r="O2107" s="18"/>
      <c r="P2107" s="18"/>
      <c r="Q2107" s="18"/>
    </row>
    <row r="2108" spans="6:17">
      <c r="F2108" s="18"/>
      <c r="G2108" s="18"/>
      <c r="H2108" s="18"/>
      <c r="I2108" s="18"/>
      <c r="J2108" s="18"/>
      <c r="K2108" s="18"/>
      <c r="L2108" s="18"/>
      <c r="M2108" s="18"/>
      <c r="N2108" s="18"/>
      <c r="O2108" s="18"/>
      <c r="P2108" s="18"/>
      <c r="Q2108" s="18"/>
    </row>
    <row r="2109" spans="6:17">
      <c r="F2109" s="18"/>
      <c r="G2109" s="18"/>
      <c r="H2109" s="18"/>
      <c r="I2109" s="18"/>
      <c r="J2109" s="18"/>
      <c r="K2109" s="18"/>
      <c r="L2109" s="18"/>
      <c r="M2109" s="18"/>
      <c r="N2109" s="18"/>
      <c r="O2109" s="18"/>
      <c r="P2109" s="18"/>
      <c r="Q2109" s="18"/>
    </row>
    <row r="2110" spans="6:17">
      <c r="F2110" s="18"/>
      <c r="G2110" s="18"/>
      <c r="H2110" s="18"/>
      <c r="I2110" s="18"/>
      <c r="J2110" s="18"/>
      <c r="K2110" s="18"/>
      <c r="L2110" s="18"/>
      <c r="M2110" s="18"/>
      <c r="N2110" s="18"/>
      <c r="O2110" s="18"/>
      <c r="P2110" s="18"/>
      <c r="Q2110" s="18"/>
    </row>
    <row r="2111" spans="6:17">
      <c r="F2111" s="18"/>
      <c r="G2111" s="18"/>
      <c r="H2111" s="18"/>
      <c r="I2111" s="18"/>
      <c r="J2111" s="18"/>
      <c r="K2111" s="18"/>
      <c r="L2111" s="18"/>
      <c r="M2111" s="18"/>
      <c r="N2111" s="18"/>
      <c r="O2111" s="18"/>
      <c r="P2111" s="18"/>
      <c r="Q2111" s="18"/>
    </row>
    <row r="2112" spans="6:17">
      <c r="F2112" s="18"/>
      <c r="G2112" s="18"/>
      <c r="H2112" s="18"/>
      <c r="I2112" s="18"/>
      <c r="J2112" s="18"/>
      <c r="K2112" s="18"/>
      <c r="L2112" s="18"/>
      <c r="M2112" s="18"/>
      <c r="N2112" s="18"/>
      <c r="O2112" s="18"/>
      <c r="P2112" s="18"/>
      <c r="Q2112" s="18"/>
    </row>
    <row r="2113" spans="6:17">
      <c r="F2113" s="18"/>
      <c r="G2113" s="18"/>
      <c r="H2113" s="18"/>
      <c r="I2113" s="18"/>
      <c r="J2113" s="18"/>
      <c r="K2113" s="18"/>
      <c r="L2113" s="18"/>
      <c r="M2113" s="18"/>
      <c r="N2113" s="18"/>
      <c r="O2113" s="18"/>
      <c r="P2113" s="18"/>
      <c r="Q2113" s="18"/>
    </row>
    <row r="2114" spans="6:17">
      <c r="F2114" s="18"/>
      <c r="G2114" s="18"/>
      <c r="H2114" s="18"/>
      <c r="I2114" s="18"/>
      <c r="J2114" s="18"/>
      <c r="K2114" s="18"/>
      <c r="L2114" s="18"/>
      <c r="M2114" s="18"/>
      <c r="N2114" s="18"/>
      <c r="O2114" s="18"/>
      <c r="P2114" s="18"/>
      <c r="Q2114" s="18"/>
    </row>
    <row r="2115" spans="6:17">
      <c r="F2115" s="18"/>
      <c r="G2115" s="18"/>
      <c r="H2115" s="18"/>
      <c r="I2115" s="18"/>
      <c r="J2115" s="18"/>
      <c r="K2115" s="18"/>
      <c r="L2115" s="18"/>
      <c r="M2115" s="18"/>
      <c r="N2115" s="18"/>
      <c r="O2115" s="18"/>
      <c r="P2115" s="18"/>
      <c r="Q2115" s="18"/>
    </row>
    <row r="2116" spans="6:17">
      <c r="F2116" s="18"/>
      <c r="G2116" s="18"/>
      <c r="H2116" s="18"/>
      <c r="I2116" s="18"/>
      <c r="J2116" s="18"/>
      <c r="K2116" s="18"/>
      <c r="L2116" s="18"/>
      <c r="M2116" s="18"/>
      <c r="N2116" s="18"/>
      <c r="O2116" s="18"/>
      <c r="P2116" s="18"/>
      <c r="Q2116" s="18"/>
    </row>
    <row r="2117" spans="6:17">
      <c r="F2117" s="18"/>
      <c r="G2117" s="18"/>
      <c r="H2117" s="18"/>
      <c r="I2117" s="18"/>
      <c r="J2117" s="18"/>
      <c r="K2117" s="18"/>
      <c r="L2117" s="18"/>
      <c r="M2117" s="18"/>
      <c r="N2117" s="18"/>
      <c r="O2117" s="18"/>
      <c r="P2117" s="18"/>
      <c r="Q2117" s="18"/>
    </row>
    <row r="2118" spans="6:17">
      <c r="F2118" s="18"/>
      <c r="G2118" s="18"/>
      <c r="H2118" s="18"/>
      <c r="I2118" s="18"/>
      <c r="J2118" s="18"/>
      <c r="K2118" s="18"/>
      <c r="L2118" s="18"/>
      <c r="M2118" s="18"/>
      <c r="N2118" s="18"/>
      <c r="O2118" s="18"/>
      <c r="P2118" s="18"/>
      <c r="Q2118" s="18"/>
    </row>
    <row r="2119" spans="6:17">
      <c r="F2119" s="18"/>
      <c r="G2119" s="18"/>
      <c r="H2119" s="18"/>
      <c r="I2119" s="18"/>
      <c r="J2119" s="18"/>
      <c r="K2119" s="18"/>
      <c r="L2119" s="18"/>
      <c r="M2119" s="18"/>
      <c r="N2119" s="18"/>
      <c r="O2119" s="18"/>
      <c r="P2119" s="18"/>
      <c r="Q2119" s="18"/>
    </row>
    <row r="2120" spans="6:17">
      <c r="F2120" s="18"/>
      <c r="G2120" s="18"/>
      <c r="H2120" s="18"/>
      <c r="I2120" s="18"/>
      <c r="J2120" s="18"/>
      <c r="K2120" s="18"/>
      <c r="L2120" s="18"/>
      <c r="M2120" s="18"/>
      <c r="N2120" s="18"/>
      <c r="O2120" s="18"/>
      <c r="P2120" s="18"/>
      <c r="Q2120" s="18"/>
    </row>
    <row r="2121" spans="6:17">
      <c r="F2121" s="18"/>
      <c r="G2121" s="18"/>
      <c r="H2121" s="18"/>
      <c r="I2121" s="18"/>
      <c r="J2121" s="18"/>
      <c r="K2121" s="18"/>
      <c r="L2121" s="18"/>
      <c r="M2121" s="18"/>
      <c r="N2121" s="18"/>
      <c r="O2121" s="18"/>
      <c r="P2121" s="18"/>
      <c r="Q2121" s="18"/>
    </row>
    <row r="2122" spans="6:17">
      <c r="F2122" s="18"/>
      <c r="G2122" s="18"/>
      <c r="H2122" s="18"/>
      <c r="I2122" s="18"/>
      <c r="J2122" s="18"/>
      <c r="K2122" s="18"/>
      <c r="L2122" s="18"/>
      <c r="M2122" s="18"/>
      <c r="N2122" s="18"/>
      <c r="O2122" s="18"/>
      <c r="P2122" s="18"/>
      <c r="Q2122" s="18"/>
    </row>
    <row r="2123" spans="6:17">
      <c r="F2123" s="18"/>
      <c r="G2123" s="18"/>
      <c r="H2123" s="18"/>
      <c r="I2123" s="18"/>
      <c r="J2123" s="18"/>
      <c r="K2123" s="18"/>
      <c r="L2123" s="18"/>
      <c r="M2123" s="18"/>
      <c r="N2123" s="18"/>
      <c r="O2123" s="18"/>
      <c r="P2123" s="18"/>
      <c r="Q2123" s="18"/>
    </row>
    <row r="2124" spans="6:17">
      <c r="F2124" s="18"/>
      <c r="G2124" s="18"/>
      <c r="H2124" s="18"/>
      <c r="I2124" s="18"/>
      <c r="J2124" s="18"/>
      <c r="K2124" s="18"/>
      <c r="L2124" s="18"/>
      <c r="M2124" s="18"/>
      <c r="N2124" s="18"/>
      <c r="O2124" s="18"/>
      <c r="P2124" s="18"/>
      <c r="Q2124" s="18"/>
    </row>
    <row r="2125" spans="6:17">
      <c r="F2125" s="18"/>
      <c r="G2125" s="18"/>
      <c r="H2125" s="18"/>
      <c r="I2125" s="18"/>
      <c r="J2125" s="18"/>
      <c r="K2125" s="18"/>
      <c r="L2125" s="18"/>
      <c r="M2125" s="18"/>
      <c r="N2125" s="18"/>
      <c r="O2125" s="18"/>
      <c r="P2125" s="18"/>
      <c r="Q2125" s="18"/>
    </row>
    <row r="2126" spans="6:17">
      <c r="F2126" s="18"/>
      <c r="G2126" s="18"/>
      <c r="H2126" s="18"/>
      <c r="I2126" s="18"/>
      <c r="J2126" s="18"/>
      <c r="K2126" s="18"/>
      <c r="L2126" s="18"/>
      <c r="M2126" s="18"/>
      <c r="N2126" s="18"/>
      <c r="O2126" s="18"/>
      <c r="P2126" s="18"/>
      <c r="Q2126" s="18"/>
    </row>
    <row r="2127" spans="6:17">
      <c r="F2127" s="18"/>
      <c r="G2127" s="18"/>
      <c r="H2127" s="18"/>
      <c r="I2127" s="18"/>
      <c r="J2127" s="18"/>
      <c r="K2127" s="18"/>
      <c r="L2127" s="18"/>
      <c r="M2127" s="18"/>
      <c r="N2127" s="18"/>
      <c r="O2127" s="18"/>
      <c r="P2127" s="18"/>
      <c r="Q2127" s="18"/>
    </row>
    <row r="2128" spans="6:17">
      <c r="F2128" s="18"/>
      <c r="G2128" s="18"/>
      <c r="H2128" s="18"/>
      <c r="I2128" s="18"/>
      <c r="J2128" s="18"/>
      <c r="K2128" s="18"/>
      <c r="L2128" s="18"/>
      <c r="M2128" s="18"/>
      <c r="N2128" s="18"/>
      <c r="O2128" s="18"/>
      <c r="P2128" s="18"/>
      <c r="Q2128" s="18"/>
    </row>
    <row r="2129" spans="6:17">
      <c r="F2129" s="18"/>
      <c r="G2129" s="18"/>
      <c r="H2129" s="18"/>
      <c r="I2129" s="18"/>
      <c r="J2129" s="18"/>
      <c r="K2129" s="18"/>
      <c r="L2129" s="18"/>
      <c r="M2129" s="18"/>
      <c r="N2129" s="18"/>
      <c r="O2129" s="18"/>
      <c r="P2129" s="18"/>
      <c r="Q2129" s="18"/>
    </row>
    <row r="2130" spans="6:17">
      <c r="F2130" s="18"/>
      <c r="G2130" s="18"/>
      <c r="H2130" s="18"/>
      <c r="I2130" s="18"/>
      <c r="J2130" s="18"/>
      <c r="K2130" s="18"/>
      <c r="L2130" s="18"/>
      <c r="M2130" s="18"/>
      <c r="N2130" s="18"/>
      <c r="O2130" s="18"/>
      <c r="P2130" s="18"/>
      <c r="Q2130" s="18"/>
    </row>
    <row r="2131" spans="6:17">
      <c r="F2131" s="18"/>
      <c r="G2131" s="18"/>
      <c r="H2131" s="18"/>
      <c r="I2131" s="18"/>
      <c r="J2131" s="18"/>
      <c r="K2131" s="18"/>
      <c r="L2131" s="18"/>
      <c r="M2131" s="18"/>
      <c r="N2131" s="18"/>
      <c r="O2131" s="18"/>
      <c r="P2131" s="18"/>
      <c r="Q2131" s="18"/>
    </row>
    <row r="2132" spans="6:17">
      <c r="F2132" s="18"/>
      <c r="G2132" s="18"/>
      <c r="H2132" s="18"/>
      <c r="I2132" s="18"/>
      <c r="J2132" s="18"/>
      <c r="K2132" s="18"/>
      <c r="L2132" s="18"/>
      <c r="M2132" s="18"/>
      <c r="N2132" s="18"/>
      <c r="O2132" s="18"/>
      <c r="P2132" s="18"/>
      <c r="Q2132" s="18"/>
    </row>
    <row r="2133" spans="6:17">
      <c r="F2133" s="18"/>
      <c r="G2133" s="18"/>
      <c r="H2133" s="18"/>
      <c r="I2133" s="18"/>
      <c r="J2133" s="18"/>
      <c r="K2133" s="18"/>
      <c r="L2133" s="18"/>
      <c r="M2133" s="18"/>
      <c r="N2133" s="18"/>
      <c r="O2133" s="18"/>
      <c r="P2133" s="18"/>
      <c r="Q2133" s="18"/>
    </row>
    <row r="2134" spans="6:17">
      <c r="F2134" s="18"/>
      <c r="G2134" s="18"/>
      <c r="H2134" s="18"/>
      <c r="I2134" s="18"/>
      <c r="J2134" s="18"/>
      <c r="K2134" s="18"/>
      <c r="L2134" s="18"/>
      <c r="M2134" s="18"/>
      <c r="N2134" s="18"/>
      <c r="O2134" s="18"/>
      <c r="P2134" s="18"/>
      <c r="Q2134" s="18"/>
    </row>
    <row r="2135" spans="6:17">
      <c r="F2135" s="18"/>
      <c r="G2135" s="18"/>
      <c r="H2135" s="18"/>
      <c r="I2135" s="18"/>
      <c r="J2135" s="18"/>
      <c r="K2135" s="18"/>
      <c r="L2135" s="18"/>
      <c r="M2135" s="18"/>
      <c r="N2135" s="18"/>
      <c r="O2135" s="18"/>
      <c r="P2135" s="18"/>
      <c r="Q2135" s="18"/>
    </row>
    <row r="2136" spans="6:17">
      <c r="F2136" s="18"/>
      <c r="G2136" s="18"/>
      <c r="H2136" s="18"/>
      <c r="I2136" s="18"/>
      <c r="J2136" s="18"/>
      <c r="K2136" s="18"/>
      <c r="L2136" s="18"/>
      <c r="M2136" s="18"/>
      <c r="N2136" s="18"/>
      <c r="O2136" s="18"/>
      <c r="P2136" s="18"/>
      <c r="Q2136" s="18"/>
    </row>
    <row r="2137" spans="6:17">
      <c r="F2137" s="18"/>
      <c r="G2137" s="18"/>
      <c r="H2137" s="18"/>
      <c r="I2137" s="18"/>
      <c r="J2137" s="18"/>
      <c r="K2137" s="18"/>
      <c r="L2137" s="18"/>
      <c r="M2137" s="18"/>
      <c r="N2137" s="18"/>
      <c r="O2137" s="18"/>
      <c r="P2137" s="18"/>
      <c r="Q2137" s="18"/>
    </row>
    <row r="2138" spans="6:17">
      <c r="F2138" s="18"/>
      <c r="G2138" s="18"/>
      <c r="H2138" s="18"/>
      <c r="I2138" s="18"/>
      <c r="J2138" s="18"/>
      <c r="K2138" s="18"/>
      <c r="L2138" s="18"/>
      <c r="M2138" s="18"/>
      <c r="N2138" s="18"/>
      <c r="O2138" s="18"/>
      <c r="P2138" s="18"/>
      <c r="Q2138" s="18"/>
    </row>
    <row r="2139" spans="6:17">
      <c r="F2139" s="18"/>
      <c r="G2139" s="18"/>
      <c r="H2139" s="18"/>
      <c r="I2139" s="18"/>
      <c r="J2139" s="18"/>
      <c r="K2139" s="18"/>
      <c r="L2139" s="18"/>
      <c r="M2139" s="18"/>
      <c r="N2139" s="18"/>
      <c r="O2139" s="18"/>
      <c r="P2139" s="18"/>
      <c r="Q2139" s="18"/>
    </row>
    <row r="2140" spans="6:17">
      <c r="F2140" s="18"/>
      <c r="G2140" s="18"/>
      <c r="H2140" s="18"/>
      <c r="I2140" s="18"/>
      <c r="J2140" s="18"/>
      <c r="K2140" s="18"/>
      <c r="L2140" s="18"/>
      <c r="M2140" s="18"/>
      <c r="N2140" s="18"/>
      <c r="O2140" s="18"/>
      <c r="P2140" s="18"/>
      <c r="Q2140" s="18"/>
    </row>
    <row r="2141" spans="6:17">
      <c r="F2141" s="18"/>
      <c r="G2141" s="18"/>
      <c r="H2141" s="18"/>
      <c r="I2141" s="18"/>
      <c r="J2141" s="18"/>
      <c r="K2141" s="18"/>
      <c r="L2141" s="18"/>
      <c r="M2141" s="18"/>
      <c r="N2141" s="18"/>
      <c r="O2141" s="18"/>
      <c r="P2141" s="18"/>
      <c r="Q2141" s="18"/>
    </row>
    <row r="2142" spans="6:17">
      <c r="F2142" s="18"/>
      <c r="G2142" s="18"/>
      <c r="H2142" s="18"/>
      <c r="I2142" s="18"/>
      <c r="J2142" s="18"/>
      <c r="K2142" s="18"/>
      <c r="L2142" s="18"/>
      <c r="M2142" s="18"/>
      <c r="N2142" s="18"/>
      <c r="O2142" s="18"/>
      <c r="P2142" s="18"/>
      <c r="Q2142" s="18"/>
    </row>
    <row r="2143" spans="6:17">
      <c r="F2143" s="18"/>
      <c r="G2143" s="18"/>
      <c r="H2143" s="18"/>
      <c r="I2143" s="18"/>
      <c r="J2143" s="18"/>
      <c r="K2143" s="18"/>
      <c r="L2143" s="18"/>
      <c r="M2143" s="18"/>
      <c r="N2143" s="18"/>
      <c r="O2143" s="18"/>
      <c r="P2143" s="18"/>
      <c r="Q2143" s="18"/>
    </row>
    <row r="2144" spans="6:17">
      <c r="F2144" s="18"/>
      <c r="G2144" s="18"/>
      <c r="H2144" s="18"/>
      <c r="I2144" s="18"/>
      <c r="J2144" s="18"/>
      <c r="K2144" s="18"/>
      <c r="L2144" s="18"/>
      <c r="M2144" s="18"/>
      <c r="N2144" s="18"/>
      <c r="O2144" s="18"/>
      <c r="P2144" s="18"/>
      <c r="Q2144" s="18"/>
    </row>
    <row r="2145" spans="6:17">
      <c r="F2145" s="18"/>
      <c r="G2145" s="18"/>
      <c r="H2145" s="18"/>
      <c r="I2145" s="18"/>
      <c r="J2145" s="18"/>
      <c r="K2145" s="18"/>
      <c r="L2145" s="18"/>
      <c r="M2145" s="18"/>
      <c r="N2145" s="18"/>
      <c r="O2145" s="18"/>
      <c r="P2145" s="18"/>
      <c r="Q2145" s="18"/>
    </row>
    <row r="2146" spans="6:17">
      <c r="F2146" s="18"/>
      <c r="G2146" s="18"/>
      <c r="H2146" s="18"/>
      <c r="I2146" s="18"/>
      <c r="J2146" s="18"/>
      <c r="K2146" s="18"/>
      <c r="L2146" s="18"/>
      <c r="M2146" s="18"/>
      <c r="N2146" s="18"/>
      <c r="O2146" s="18"/>
      <c r="P2146" s="18"/>
      <c r="Q2146" s="18"/>
    </row>
    <row r="2147" spans="6:17">
      <c r="F2147" s="18"/>
      <c r="G2147" s="18"/>
      <c r="H2147" s="18"/>
      <c r="I2147" s="18"/>
      <c r="J2147" s="18"/>
      <c r="K2147" s="18"/>
      <c r="L2147" s="18"/>
      <c r="M2147" s="18"/>
      <c r="N2147" s="18"/>
      <c r="O2147" s="18"/>
      <c r="P2147" s="18"/>
      <c r="Q2147" s="18"/>
    </row>
    <row r="2148" spans="6:17">
      <c r="F2148" s="18"/>
      <c r="G2148" s="18"/>
      <c r="H2148" s="18"/>
      <c r="I2148" s="18"/>
      <c r="J2148" s="18"/>
      <c r="K2148" s="18"/>
      <c r="L2148" s="18"/>
      <c r="M2148" s="18"/>
      <c r="N2148" s="18"/>
      <c r="O2148" s="18"/>
      <c r="P2148" s="18"/>
      <c r="Q2148" s="18"/>
    </row>
    <row r="2149" spans="6:17">
      <c r="F2149" s="18"/>
      <c r="G2149" s="18"/>
      <c r="H2149" s="18"/>
      <c r="I2149" s="18"/>
      <c r="J2149" s="18"/>
      <c r="K2149" s="18"/>
      <c r="L2149" s="18"/>
      <c r="M2149" s="18"/>
      <c r="N2149" s="18"/>
      <c r="O2149" s="18"/>
      <c r="P2149" s="18"/>
      <c r="Q2149" s="18"/>
    </row>
    <row r="2150" spans="6:17">
      <c r="F2150" s="18"/>
      <c r="G2150" s="18"/>
      <c r="H2150" s="18"/>
      <c r="I2150" s="18"/>
      <c r="J2150" s="18"/>
      <c r="K2150" s="18"/>
      <c r="L2150" s="18"/>
      <c r="M2150" s="18"/>
      <c r="N2150" s="18"/>
      <c r="O2150" s="18"/>
      <c r="P2150" s="18"/>
      <c r="Q2150" s="18"/>
    </row>
    <row r="2151" spans="6:17">
      <c r="F2151" s="18"/>
      <c r="G2151" s="18"/>
      <c r="H2151" s="18"/>
      <c r="I2151" s="18"/>
      <c r="J2151" s="18"/>
      <c r="K2151" s="18"/>
      <c r="L2151" s="18"/>
      <c r="M2151" s="18"/>
      <c r="N2151" s="18"/>
      <c r="O2151" s="18"/>
      <c r="P2151" s="18"/>
      <c r="Q2151" s="18"/>
    </row>
    <row r="2152" spans="6:17">
      <c r="F2152" s="18"/>
      <c r="G2152" s="18"/>
      <c r="H2152" s="18"/>
      <c r="I2152" s="18"/>
      <c r="J2152" s="18"/>
      <c r="K2152" s="18"/>
      <c r="L2152" s="18"/>
      <c r="M2152" s="18"/>
      <c r="N2152" s="18"/>
      <c r="O2152" s="18"/>
      <c r="P2152" s="18"/>
      <c r="Q2152" s="18"/>
    </row>
    <row r="2153" spans="6:17">
      <c r="F2153" s="18"/>
      <c r="G2153" s="18"/>
      <c r="H2153" s="18"/>
      <c r="I2153" s="18"/>
      <c r="J2153" s="18"/>
      <c r="K2153" s="18"/>
      <c r="L2153" s="18"/>
      <c r="M2153" s="18"/>
      <c r="N2153" s="18"/>
      <c r="O2153" s="18"/>
      <c r="P2153" s="18"/>
      <c r="Q2153" s="18"/>
    </row>
    <row r="2154" spans="6:17">
      <c r="F2154" s="18"/>
      <c r="G2154" s="18"/>
      <c r="H2154" s="18"/>
      <c r="I2154" s="18"/>
      <c r="J2154" s="18"/>
      <c r="K2154" s="18"/>
      <c r="L2154" s="18"/>
      <c r="M2154" s="18"/>
      <c r="N2154" s="18"/>
      <c r="O2154" s="18"/>
      <c r="P2154" s="18"/>
      <c r="Q2154" s="18"/>
    </row>
    <row r="2155" spans="6:17">
      <c r="F2155" s="18"/>
      <c r="G2155" s="18"/>
      <c r="H2155" s="18"/>
      <c r="I2155" s="18"/>
      <c r="J2155" s="18"/>
      <c r="K2155" s="18"/>
      <c r="L2155" s="18"/>
      <c r="M2155" s="18"/>
      <c r="N2155" s="18"/>
      <c r="O2155" s="18"/>
      <c r="P2155" s="18"/>
      <c r="Q2155" s="18"/>
    </row>
    <row r="2156" spans="6:17">
      <c r="F2156" s="18"/>
      <c r="G2156" s="18"/>
      <c r="H2156" s="18"/>
      <c r="I2156" s="18"/>
      <c r="J2156" s="18"/>
      <c r="K2156" s="18"/>
      <c r="L2156" s="18"/>
      <c r="M2156" s="18"/>
      <c r="N2156" s="18"/>
      <c r="O2156" s="18"/>
      <c r="P2156" s="18"/>
      <c r="Q2156" s="18"/>
    </row>
    <row r="2157" spans="6:17">
      <c r="F2157" s="18"/>
      <c r="G2157" s="18"/>
      <c r="H2157" s="18"/>
      <c r="I2157" s="18"/>
      <c r="J2157" s="18"/>
      <c r="K2157" s="18"/>
      <c r="L2157" s="18"/>
      <c r="M2157" s="18"/>
      <c r="N2157" s="18"/>
      <c r="O2157" s="18"/>
      <c r="P2157" s="18"/>
      <c r="Q2157" s="18"/>
    </row>
    <row r="2158" spans="6:17">
      <c r="F2158" s="18"/>
      <c r="G2158" s="18"/>
      <c r="H2158" s="18"/>
      <c r="I2158" s="18"/>
      <c r="J2158" s="18"/>
      <c r="K2158" s="18"/>
      <c r="L2158" s="18"/>
      <c r="M2158" s="18"/>
      <c r="N2158" s="18"/>
      <c r="O2158" s="18"/>
      <c r="P2158" s="18"/>
      <c r="Q2158" s="18"/>
    </row>
    <row r="2159" spans="6:17">
      <c r="F2159" s="18"/>
      <c r="G2159" s="18"/>
      <c r="H2159" s="18"/>
      <c r="I2159" s="18"/>
      <c r="J2159" s="18"/>
      <c r="K2159" s="18"/>
      <c r="L2159" s="18"/>
      <c r="M2159" s="18"/>
      <c r="N2159" s="18"/>
      <c r="O2159" s="18"/>
      <c r="P2159" s="18"/>
      <c r="Q2159" s="18"/>
    </row>
    <row r="2160" spans="6:17">
      <c r="F2160" s="18"/>
      <c r="G2160" s="18"/>
      <c r="H2160" s="18"/>
      <c r="I2160" s="18"/>
      <c r="J2160" s="18"/>
      <c r="K2160" s="18"/>
      <c r="L2160" s="18"/>
      <c r="M2160" s="18"/>
      <c r="N2160" s="18"/>
      <c r="O2160" s="18"/>
      <c r="P2160" s="18"/>
      <c r="Q2160" s="18"/>
    </row>
    <row r="2161" spans="6:17">
      <c r="F2161" s="18"/>
      <c r="G2161" s="18"/>
      <c r="H2161" s="18"/>
      <c r="I2161" s="18"/>
      <c r="J2161" s="18"/>
      <c r="K2161" s="18"/>
      <c r="L2161" s="18"/>
      <c r="M2161" s="18"/>
      <c r="N2161" s="18"/>
      <c r="O2161" s="18"/>
      <c r="P2161" s="18"/>
      <c r="Q2161" s="18"/>
    </row>
    <row r="2162" spans="6:17">
      <c r="F2162" s="18"/>
      <c r="G2162" s="18"/>
      <c r="H2162" s="18"/>
      <c r="I2162" s="18"/>
      <c r="J2162" s="18"/>
      <c r="K2162" s="18"/>
      <c r="L2162" s="18"/>
      <c r="M2162" s="18"/>
      <c r="N2162" s="18"/>
      <c r="O2162" s="18"/>
      <c r="P2162" s="18"/>
      <c r="Q2162" s="18"/>
    </row>
    <row r="2163" spans="6:17">
      <c r="F2163" s="18"/>
      <c r="G2163" s="18"/>
      <c r="H2163" s="18"/>
      <c r="I2163" s="18"/>
      <c r="J2163" s="18"/>
      <c r="K2163" s="18"/>
      <c r="L2163" s="18"/>
      <c r="M2163" s="18"/>
      <c r="N2163" s="18"/>
      <c r="O2163" s="18"/>
      <c r="P2163" s="18"/>
      <c r="Q2163" s="18"/>
    </row>
    <row r="2164" spans="6:17">
      <c r="F2164" s="18"/>
      <c r="G2164" s="18"/>
      <c r="H2164" s="18"/>
      <c r="I2164" s="18"/>
      <c r="J2164" s="18"/>
      <c r="K2164" s="18"/>
      <c r="L2164" s="18"/>
      <c r="M2164" s="18"/>
      <c r="N2164" s="18"/>
      <c r="O2164" s="18"/>
      <c r="P2164" s="18"/>
      <c r="Q2164" s="18"/>
    </row>
    <row r="2165" spans="6:17">
      <c r="F2165" s="18"/>
      <c r="G2165" s="18"/>
      <c r="H2165" s="18"/>
      <c r="I2165" s="18"/>
      <c r="J2165" s="18"/>
      <c r="K2165" s="18"/>
      <c r="L2165" s="18"/>
      <c r="M2165" s="18"/>
      <c r="N2165" s="18"/>
      <c r="O2165" s="18"/>
      <c r="P2165" s="18"/>
      <c r="Q2165" s="18"/>
    </row>
    <row r="2166" spans="6:17">
      <c r="F2166" s="18"/>
      <c r="G2166" s="18"/>
      <c r="H2166" s="18"/>
      <c r="I2166" s="18"/>
      <c r="J2166" s="18"/>
      <c r="K2166" s="18"/>
      <c r="L2166" s="18"/>
      <c r="M2166" s="18"/>
      <c r="N2166" s="18"/>
      <c r="O2166" s="18"/>
      <c r="P2166" s="18"/>
      <c r="Q2166" s="18"/>
    </row>
    <row r="2167" spans="6:17">
      <c r="F2167" s="18"/>
      <c r="G2167" s="18"/>
      <c r="H2167" s="18"/>
      <c r="I2167" s="18"/>
      <c r="J2167" s="18"/>
      <c r="K2167" s="18"/>
      <c r="L2167" s="18"/>
      <c r="M2167" s="18"/>
      <c r="N2167" s="18"/>
      <c r="O2167" s="18"/>
      <c r="P2167" s="18"/>
      <c r="Q2167" s="18"/>
    </row>
    <row r="2168" spans="6:17">
      <c r="F2168" s="18"/>
      <c r="G2168" s="18"/>
      <c r="H2168" s="18"/>
      <c r="I2168" s="18"/>
      <c r="J2168" s="18"/>
      <c r="K2168" s="18"/>
      <c r="L2168" s="18"/>
      <c r="M2168" s="18"/>
      <c r="N2168" s="18"/>
      <c r="O2168" s="18"/>
      <c r="P2168" s="18"/>
      <c r="Q2168" s="18"/>
    </row>
    <row r="2169" spans="6:17">
      <c r="F2169" s="18"/>
      <c r="G2169" s="18"/>
      <c r="H2169" s="18"/>
      <c r="I2169" s="18"/>
      <c r="J2169" s="18"/>
      <c r="K2169" s="18"/>
      <c r="L2169" s="18"/>
      <c r="M2169" s="18"/>
      <c r="N2169" s="18"/>
      <c r="O2169" s="18"/>
      <c r="P2169" s="18"/>
      <c r="Q2169" s="18"/>
    </row>
    <row r="2170" spans="6:17">
      <c r="F2170" s="18"/>
      <c r="G2170" s="18"/>
      <c r="H2170" s="18"/>
      <c r="I2170" s="18"/>
      <c r="J2170" s="18"/>
      <c r="K2170" s="18"/>
      <c r="L2170" s="18"/>
      <c r="M2170" s="18"/>
      <c r="N2170" s="18"/>
      <c r="O2170" s="18"/>
      <c r="P2170" s="18"/>
      <c r="Q2170" s="18"/>
    </row>
    <row r="2171" spans="6:17">
      <c r="F2171" s="18"/>
      <c r="G2171" s="18"/>
      <c r="H2171" s="18"/>
      <c r="I2171" s="18"/>
      <c r="J2171" s="18"/>
      <c r="K2171" s="18"/>
      <c r="L2171" s="18"/>
      <c r="M2171" s="18"/>
      <c r="N2171" s="18"/>
      <c r="O2171" s="18"/>
      <c r="P2171" s="18"/>
      <c r="Q2171" s="18"/>
    </row>
    <row r="2172" spans="6:17">
      <c r="F2172" s="18"/>
      <c r="G2172" s="18"/>
      <c r="H2172" s="18"/>
      <c r="I2172" s="18"/>
      <c r="J2172" s="18"/>
      <c r="K2172" s="18"/>
      <c r="L2172" s="18"/>
      <c r="M2172" s="18"/>
      <c r="N2172" s="18"/>
      <c r="O2172" s="18"/>
      <c r="P2172" s="18"/>
      <c r="Q2172" s="18"/>
    </row>
    <row r="2173" spans="6:17">
      <c r="F2173" s="18"/>
      <c r="G2173" s="18"/>
      <c r="H2173" s="18"/>
      <c r="I2173" s="18"/>
      <c r="J2173" s="18"/>
      <c r="K2173" s="18"/>
      <c r="L2173" s="18"/>
      <c r="M2173" s="18"/>
      <c r="N2173" s="18"/>
      <c r="O2173" s="18"/>
      <c r="P2173" s="18"/>
      <c r="Q2173" s="18"/>
    </row>
    <row r="2174" spans="6:17">
      <c r="F2174" s="18"/>
      <c r="G2174" s="18"/>
      <c r="H2174" s="18"/>
      <c r="I2174" s="18"/>
      <c r="J2174" s="18"/>
      <c r="K2174" s="18"/>
      <c r="L2174" s="18"/>
      <c r="M2174" s="18"/>
      <c r="N2174" s="18"/>
      <c r="O2174" s="18"/>
      <c r="P2174" s="18"/>
      <c r="Q2174" s="18"/>
    </row>
    <row r="2175" spans="6:17">
      <c r="F2175" s="18"/>
      <c r="G2175" s="18"/>
      <c r="H2175" s="18"/>
      <c r="I2175" s="18"/>
      <c r="J2175" s="18"/>
      <c r="K2175" s="18"/>
      <c r="L2175" s="18"/>
      <c r="M2175" s="18"/>
      <c r="N2175" s="18"/>
      <c r="O2175" s="18"/>
      <c r="P2175" s="18"/>
      <c r="Q2175" s="18"/>
    </row>
    <row r="2176" spans="6:17">
      <c r="F2176" s="18"/>
      <c r="G2176" s="18"/>
      <c r="H2176" s="18"/>
      <c r="I2176" s="18"/>
      <c r="J2176" s="18"/>
      <c r="K2176" s="18"/>
      <c r="L2176" s="18"/>
      <c r="M2176" s="18"/>
      <c r="N2176" s="18"/>
      <c r="O2176" s="18"/>
      <c r="P2176" s="18"/>
      <c r="Q2176" s="18"/>
    </row>
    <row r="2177" spans="6:17">
      <c r="F2177" s="18"/>
      <c r="G2177" s="18"/>
      <c r="H2177" s="18"/>
      <c r="I2177" s="18"/>
      <c r="J2177" s="18"/>
      <c r="K2177" s="18"/>
      <c r="L2177" s="18"/>
      <c r="M2177" s="18"/>
      <c r="N2177" s="18"/>
      <c r="O2177" s="18"/>
      <c r="P2177" s="18"/>
      <c r="Q2177" s="18"/>
    </row>
    <row r="2178" spans="6:17">
      <c r="F2178" s="18"/>
      <c r="G2178" s="18"/>
      <c r="H2178" s="18"/>
      <c r="I2178" s="18"/>
      <c r="J2178" s="18"/>
      <c r="K2178" s="18"/>
      <c r="L2178" s="18"/>
      <c r="M2178" s="18"/>
      <c r="N2178" s="18"/>
      <c r="O2178" s="18"/>
      <c r="P2178" s="18"/>
      <c r="Q2178" s="18"/>
    </row>
    <row r="2179" spans="6:17">
      <c r="F2179" s="18"/>
      <c r="G2179" s="18"/>
      <c r="H2179" s="18"/>
      <c r="I2179" s="18"/>
      <c r="J2179" s="18"/>
      <c r="K2179" s="18"/>
      <c r="L2179" s="18"/>
      <c r="M2179" s="18"/>
      <c r="N2179" s="18"/>
      <c r="O2179" s="18"/>
      <c r="P2179" s="18"/>
      <c r="Q2179" s="18"/>
    </row>
    <row r="2180" spans="6:17">
      <c r="F2180" s="18"/>
      <c r="G2180" s="18"/>
      <c r="H2180" s="18"/>
      <c r="I2180" s="18"/>
      <c r="J2180" s="18"/>
      <c r="K2180" s="18"/>
      <c r="L2180" s="18"/>
      <c r="M2180" s="18"/>
      <c r="N2180" s="18"/>
      <c r="O2180" s="18"/>
      <c r="P2180" s="18"/>
      <c r="Q2180" s="18"/>
    </row>
    <row r="2181" spans="6:17">
      <c r="F2181" s="18"/>
      <c r="G2181" s="18"/>
      <c r="H2181" s="18"/>
      <c r="I2181" s="18"/>
      <c r="J2181" s="18"/>
      <c r="K2181" s="18"/>
      <c r="L2181" s="18"/>
      <c r="M2181" s="18"/>
      <c r="N2181" s="18"/>
      <c r="O2181" s="18"/>
      <c r="P2181" s="18"/>
      <c r="Q2181" s="18"/>
    </row>
    <row r="2182" spans="6:17">
      <c r="F2182" s="18"/>
      <c r="G2182" s="18"/>
      <c r="H2182" s="18"/>
      <c r="I2182" s="18"/>
      <c r="J2182" s="18"/>
      <c r="K2182" s="18"/>
      <c r="L2182" s="18"/>
      <c r="M2182" s="18"/>
      <c r="N2182" s="18"/>
      <c r="O2182" s="18"/>
      <c r="P2182" s="18"/>
      <c r="Q2182" s="18"/>
    </row>
    <row r="2183" spans="6:17">
      <c r="F2183" s="18"/>
      <c r="G2183" s="18"/>
      <c r="H2183" s="18"/>
      <c r="I2183" s="18"/>
      <c r="J2183" s="18"/>
      <c r="K2183" s="18"/>
      <c r="L2183" s="18"/>
      <c r="M2183" s="18"/>
      <c r="N2183" s="18"/>
      <c r="O2183" s="18"/>
      <c r="P2183" s="18"/>
      <c r="Q2183" s="18"/>
    </row>
    <row r="2184" spans="6:17">
      <c r="F2184" s="18"/>
      <c r="G2184" s="18"/>
      <c r="H2184" s="18"/>
      <c r="I2184" s="18"/>
      <c r="J2184" s="18"/>
      <c r="K2184" s="18"/>
      <c r="L2184" s="18"/>
      <c r="M2184" s="18"/>
      <c r="N2184" s="18"/>
      <c r="O2184" s="18"/>
      <c r="P2184" s="18"/>
      <c r="Q2184" s="18"/>
    </row>
    <row r="2185" spans="6:17">
      <c r="F2185" s="18"/>
      <c r="G2185" s="18"/>
      <c r="H2185" s="18"/>
      <c r="I2185" s="18"/>
      <c r="J2185" s="18"/>
      <c r="K2185" s="18"/>
      <c r="L2185" s="18"/>
      <c r="M2185" s="18"/>
      <c r="N2185" s="18"/>
      <c r="O2185" s="18"/>
      <c r="P2185" s="18"/>
      <c r="Q2185" s="18"/>
    </row>
    <row r="2186" spans="6:17">
      <c r="F2186" s="18"/>
      <c r="G2186" s="18"/>
      <c r="H2186" s="18"/>
      <c r="I2186" s="18"/>
      <c r="J2186" s="18"/>
      <c r="K2186" s="18"/>
      <c r="L2186" s="18"/>
      <c r="M2186" s="18"/>
      <c r="N2186" s="18"/>
      <c r="O2186" s="18"/>
      <c r="P2186" s="18"/>
      <c r="Q2186" s="18"/>
    </row>
    <row r="2187" spans="6:17">
      <c r="F2187" s="18"/>
      <c r="G2187" s="18"/>
      <c r="H2187" s="18"/>
      <c r="I2187" s="18"/>
      <c r="J2187" s="18"/>
      <c r="K2187" s="18"/>
      <c r="L2187" s="18"/>
      <c r="M2187" s="18"/>
      <c r="N2187" s="18"/>
      <c r="O2187" s="18"/>
      <c r="P2187" s="18"/>
      <c r="Q2187" s="18"/>
    </row>
    <row r="2188" spans="6:17">
      <c r="F2188" s="18"/>
      <c r="G2188" s="18"/>
      <c r="H2188" s="18"/>
      <c r="I2188" s="18"/>
      <c r="J2188" s="18"/>
      <c r="K2188" s="18"/>
      <c r="L2188" s="18"/>
      <c r="M2188" s="18"/>
      <c r="N2188" s="18"/>
      <c r="O2188" s="18"/>
      <c r="P2188" s="18"/>
      <c r="Q2188" s="18"/>
    </row>
    <row r="2189" spans="6:17">
      <c r="F2189" s="18"/>
      <c r="G2189" s="18"/>
      <c r="H2189" s="18"/>
      <c r="I2189" s="18"/>
      <c r="J2189" s="18"/>
      <c r="K2189" s="18"/>
      <c r="L2189" s="18"/>
      <c r="M2189" s="18"/>
      <c r="N2189" s="18"/>
      <c r="O2189" s="18"/>
      <c r="P2189" s="18"/>
      <c r="Q2189" s="18"/>
    </row>
    <row r="2190" spans="6:17">
      <c r="F2190" s="18"/>
      <c r="G2190" s="18"/>
      <c r="H2190" s="18"/>
      <c r="I2190" s="18"/>
      <c r="J2190" s="18"/>
      <c r="K2190" s="18"/>
      <c r="L2190" s="18"/>
      <c r="M2190" s="18"/>
      <c r="N2190" s="18"/>
      <c r="O2190" s="18"/>
      <c r="P2190" s="18"/>
      <c r="Q2190" s="18"/>
    </row>
    <row r="2191" spans="6:17">
      <c r="F2191" s="18"/>
      <c r="G2191" s="18"/>
      <c r="H2191" s="18"/>
      <c r="I2191" s="18"/>
      <c r="J2191" s="18"/>
      <c r="K2191" s="18"/>
      <c r="L2191" s="18"/>
      <c r="M2191" s="18"/>
      <c r="N2191" s="18"/>
      <c r="O2191" s="18"/>
      <c r="P2191" s="18"/>
      <c r="Q2191" s="18"/>
    </row>
    <row r="2192" spans="6:17">
      <c r="F2192" s="18"/>
      <c r="G2192" s="18"/>
      <c r="H2192" s="18"/>
      <c r="I2192" s="18"/>
      <c r="J2192" s="18"/>
      <c r="K2192" s="18"/>
      <c r="L2192" s="18"/>
      <c r="M2192" s="18"/>
      <c r="N2192" s="18"/>
      <c r="O2192" s="18"/>
      <c r="P2192" s="18"/>
      <c r="Q2192" s="18"/>
    </row>
    <row r="2193" spans="6:17">
      <c r="F2193" s="18"/>
      <c r="G2193" s="18"/>
      <c r="H2193" s="18"/>
      <c r="I2193" s="18"/>
      <c r="J2193" s="18"/>
      <c r="K2193" s="18"/>
      <c r="L2193" s="18"/>
      <c r="M2193" s="18"/>
      <c r="N2193" s="18"/>
      <c r="O2193" s="18"/>
      <c r="P2193" s="18"/>
      <c r="Q2193" s="18"/>
    </row>
    <row r="2194" spans="6:17">
      <c r="F2194" s="18"/>
      <c r="G2194" s="18"/>
      <c r="H2194" s="18"/>
      <c r="I2194" s="18"/>
      <c r="J2194" s="18"/>
      <c r="K2194" s="18"/>
      <c r="L2194" s="18"/>
      <c r="M2194" s="18"/>
      <c r="N2194" s="18"/>
      <c r="O2194" s="18"/>
      <c r="P2194" s="18"/>
      <c r="Q2194" s="18"/>
    </row>
    <row r="2195" spans="6:17">
      <c r="F2195" s="18"/>
      <c r="G2195" s="18"/>
      <c r="H2195" s="18"/>
      <c r="I2195" s="18"/>
      <c r="J2195" s="18"/>
      <c r="K2195" s="18"/>
      <c r="L2195" s="18"/>
      <c r="M2195" s="18"/>
      <c r="N2195" s="18"/>
      <c r="O2195" s="18"/>
      <c r="P2195" s="18"/>
      <c r="Q2195" s="18"/>
    </row>
    <row r="2196" spans="6:17">
      <c r="F2196" s="18"/>
      <c r="G2196" s="18"/>
      <c r="H2196" s="18"/>
      <c r="I2196" s="18"/>
      <c r="J2196" s="18"/>
      <c r="K2196" s="18"/>
      <c r="L2196" s="18"/>
      <c r="M2196" s="18"/>
      <c r="N2196" s="18"/>
      <c r="O2196" s="18"/>
      <c r="P2196" s="18"/>
      <c r="Q2196" s="18"/>
    </row>
    <row r="2197" spans="6:17">
      <c r="F2197" s="18"/>
      <c r="G2197" s="18"/>
      <c r="H2197" s="18"/>
      <c r="I2197" s="18"/>
      <c r="J2197" s="18"/>
      <c r="K2197" s="18"/>
      <c r="L2197" s="18"/>
      <c r="M2197" s="18"/>
      <c r="N2197" s="18"/>
      <c r="O2197" s="18"/>
      <c r="P2197" s="18"/>
      <c r="Q2197" s="18"/>
    </row>
    <row r="2198" spans="6:17">
      <c r="F2198" s="18"/>
      <c r="G2198" s="18"/>
      <c r="H2198" s="18"/>
      <c r="I2198" s="18"/>
      <c r="J2198" s="18"/>
      <c r="K2198" s="18"/>
      <c r="L2198" s="18"/>
      <c r="M2198" s="18"/>
      <c r="N2198" s="18"/>
      <c r="O2198" s="18"/>
      <c r="P2198" s="18"/>
      <c r="Q2198" s="18"/>
    </row>
    <row r="2199" spans="6:17">
      <c r="F2199" s="18"/>
      <c r="G2199" s="18"/>
      <c r="H2199" s="18"/>
      <c r="I2199" s="18"/>
      <c r="J2199" s="18"/>
      <c r="K2199" s="18"/>
      <c r="L2199" s="18"/>
      <c r="M2199" s="18"/>
      <c r="N2199" s="18"/>
      <c r="O2199" s="18"/>
      <c r="P2199" s="18"/>
      <c r="Q2199" s="18"/>
    </row>
    <row r="2200" spans="6:17">
      <c r="F2200" s="18"/>
      <c r="G2200" s="18"/>
      <c r="H2200" s="18"/>
      <c r="I2200" s="18"/>
      <c r="J2200" s="18"/>
      <c r="K2200" s="18"/>
      <c r="L2200" s="18"/>
      <c r="M2200" s="18"/>
      <c r="N2200" s="18"/>
      <c r="O2200" s="18"/>
      <c r="P2200" s="18"/>
      <c r="Q2200" s="18"/>
    </row>
    <row r="2201" spans="6:17">
      <c r="F2201" s="18"/>
      <c r="G2201" s="18"/>
      <c r="H2201" s="18"/>
      <c r="I2201" s="18"/>
      <c r="J2201" s="18"/>
      <c r="K2201" s="18"/>
      <c r="L2201" s="18"/>
      <c r="M2201" s="18"/>
      <c r="N2201" s="18"/>
      <c r="O2201" s="18"/>
      <c r="P2201" s="18"/>
      <c r="Q2201" s="18"/>
    </row>
    <row r="2202" spans="6:17">
      <c r="F2202" s="18"/>
      <c r="G2202" s="18"/>
      <c r="H2202" s="18"/>
      <c r="I2202" s="18"/>
      <c r="J2202" s="18"/>
      <c r="K2202" s="18"/>
      <c r="L2202" s="18"/>
      <c r="M2202" s="18"/>
      <c r="N2202" s="18"/>
      <c r="O2202" s="18"/>
      <c r="P2202" s="18"/>
      <c r="Q2202" s="18"/>
    </row>
    <row r="2203" spans="6:17">
      <c r="F2203" s="18"/>
      <c r="G2203" s="18"/>
      <c r="H2203" s="18"/>
      <c r="I2203" s="18"/>
      <c r="J2203" s="18"/>
      <c r="K2203" s="18"/>
      <c r="L2203" s="18"/>
      <c r="M2203" s="18"/>
      <c r="N2203" s="18"/>
      <c r="O2203" s="18"/>
      <c r="P2203" s="18"/>
      <c r="Q2203" s="18"/>
    </row>
    <row r="2204" spans="6:17">
      <c r="F2204" s="18"/>
      <c r="G2204" s="18"/>
      <c r="H2204" s="18"/>
      <c r="I2204" s="18"/>
      <c r="J2204" s="18"/>
      <c r="K2204" s="18"/>
      <c r="L2204" s="18"/>
      <c r="M2204" s="18"/>
      <c r="N2204" s="18"/>
      <c r="O2204" s="18"/>
      <c r="P2204" s="18"/>
      <c r="Q2204" s="18"/>
    </row>
    <row r="2205" spans="6:17">
      <c r="F2205" s="18"/>
      <c r="G2205" s="18"/>
      <c r="H2205" s="18"/>
      <c r="I2205" s="18"/>
      <c r="J2205" s="18"/>
      <c r="K2205" s="18"/>
      <c r="L2205" s="18"/>
      <c r="M2205" s="18"/>
      <c r="N2205" s="18"/>
      <c r="O2205" s="18"/>
      <c r="P2205" s="18"/>
      <c r="Q2205" s="18"/>
    </row>
    <row r="2206" spans="6:17">
      <c r="F2206" s="18"/>
      <c r="G2206" s="18"/>
      <c r="H2206" s="18"/>
      <c r="I2206" s="18"/>
      <c r="J2206" s="18"/>
      <c r="K2206" s="18"/>
      <c r="L2206" s="18"/>
      <c r="M2206" s="18"/>
      <c r="N2206" s="18"/>
      <c r="O2206" s="18"/>
      <c r="P2206" s="18"/>
      <c r="Q2206" s="18"/>
    </row>
    <row r="2207" spans="6:17">
      <c r="F2207" s="18"/>
      <c r="G2207" s="18"/>
      <c r="H2207" s="18"/>
      <c r="I2207" s="18"/>
      <c r="J2207" s="18"/>
      <c r="K2207" s="18"/>
      <c r="L2207" s="18"/>
      <c r="M2207" s="18"/>
      <c r="N2207" s="18"/>
      <c r="O2207" s="18"/>
      <c r="P2207" s="18"/>
      <c r="Q2207" s="18"/>
    </row>
    <row r="2208" spans="6:17">
      <c r="F2208" s="36" t="e">
        <f>(#REF!-#REF!)/#REF!</f>
        <v>#REF!</v>
      </c>
      <c r="G2208" s="36" t="e">
        <f>(#REF!-#REF!)/#REF!</f>
        <v>#REF!</v>
      </c>
      <c r="H2208" s="36" t="e">
        <f>(#REF!-#REF!)/#REF!</f>
        <v>#REF!</v>
      </c>
      <c r="I2208" s="36" t="e">
        <f>(#REF!-#REF!)/#REF!</f>
        <v>#REF!</v>
      </c>
      <c r="J2208" s="36" t="e">
        <f>(#REF!-#REF!)/#REF!</f>
        <v>#REF!</v>
      </c>
      <c r="K2208" s="36" t="e">
        <f>(C2208-C1968)/C1968</f>
        <v>#DIV/0!</v>
      </c>
      <c r="L2208" s="36" t="e">
        <f>(D2208-D1968)/D1968</f>
        <v>#DIV/0!</v>
      </c>
      <c r="M2208" s="36" t="e">
        <f>(F2208-F1968)/F1968</f>
        <v>#REF!</v>
      </c>
      <c r="N2208" s="36" t="e">
        <f>(G2208-G1968)/G1968</f>
        <v>#REF!</v>
      </c>
      <c r="O2208" s="36" t="e">
        <f>(H2208-H1968)/H1968</f>
        <v>#REF!</v>
      </c>
      <c r="P2208" s="36" t="e">
        <f>(I2208-I1968)/I1968</f>
        <v>#REF!</v>
      </c>
      <c r="Q2208" s="36"/>
    </row>
    <row r="2209" spans="6:17">
      <c r="F2209" s="18"/>
      <c r="G2209" s="18"/>
      <c r="H2209" s="18"/>
      <c r="I2209" s="18"/>
      <c r="J2209" s="18"/>
      <c r="K2209" s="18"/>
      <c r="L2209" s="18"/>
      <c r="M2209" s="18"/>
      <c r="N2209" s="18"/>
      <c r="O2209" s="18"/>
      <c r="P2209" s="18"/>
      <c r="Q2209" s="18"/>
    </row>
    <row r="2210" spans="6:17">
      <c r="F2210" s="18"/>
      <c r="G2210" s="18"/>
      <c r="H2210" s="18"/>
      <c r="I2210" s="18"/>
      <c r="J2210" s="18"/>
      <c r="K2210" s="18"/>
      <c r="L2210" s="18"/>
      <c r="M2210" s="18"/>
      <c r="N2210" s="18"/>
      <c r="O2210" s="18"/>
      <c r="P2210" s="18"/>
      <c r="Q2210" s="18"/>
    </row>
    <row r="2211" spans="6:17">
      <c r="F2211" s="18"/>
      <c r="G2211" s="18"/>
      <c r="H2211" s="18"/>
      <c r="I2211" s="18"/>
      <c r="J2211" s="18"/>
      <c r="K2211" s="18"/>
      <c r="L2211" s="18"/>
      <c r="M2211" s="18"/>
      <c r="N2211" s="18"/>
      <c r="O2211" s="18"/>
      <c r="P2211" s="18"/>
      <c r="Q2211" s="18"/>
    </row>
    <row r="2212" spans="6:17">
      <c r="F2212" s="18"/>
      <c r="G2212" s="18"/>
      <c r="H2212" s="18"/>
      <c r="I2212" s="18"/>
      <c r="J2212" s="18"/>
      <c r="K2212" s="18"/>
      <c r="L2212" s="18"/>
      <c r="M2212" s="18"/>
      <c r="N2212" s="18"/>
      <c r="O2212" s="18"/>
      <c r="P2212" s="18"/>
      <c r="Q2212" s="18"/>
    </row>
    <row r="2213" spans="6:17">
      <c r="F2213" s="18"/>
      <c r="G2213" s="18"/>
      <c r="H2213" s="18"/>
      <c r="I2213" s="18"/>
      <c r="J2213" s="18"/>
      <c r="K2213" s="18"/>
      <c r="L2213" s="18"/>
      <c r="M2213" s="18"/>
      <c r="N2213" s="18"/>
      <c r="O2213" s="18"/>
      <c r="P2213" s="18"/>
      <c r="Q2213" s="18"/>
    </row>
    <row r="2214" spans="6:17">
      <c r="F2214" s="18"/>
      <c r="G2214" s="18"/>
      <c r="H2214" s="18"/>
      <c r="I2214" s="18"/>
      <c r="J2214" s="18"/>
      <c r="K2214" s="18"/>
      <c r="L2214" s="18"/>
      <c r="M2214" s="18"/>
      <c r="N2214" s="18"/>
      <c r="O2214" s="18"/>
      <c r="P2214" s="18"/>
      <c r="Q2214" s="18"/>
    </row>
    <row r="2215" spans="6:17">
      <c r="F2215" s="18"/>
      <c r="G2215" s="18"/>
      <c r="H2215" s="18"/>
      <c r="I2215" s="18"/>
      <c r="J2215" s="18"/>
      <c r="K2215" s="18"/>
      <c r="L2215" s="18"/>
      <c r="M2215" s="18"/>
      <c r="N2215" s="18"/>
      <c r="O2215" s="18"/>
      <c r="P2215" s="18"/>
      <c r="Q2215" s="18"/>
    </row>
    <row r="2216" spans="6:17">
      <c r="F2216" s="18"/>
      <c r="G2216" s="18"/>
      <c r="H2216" s="18"/>
      <c r="I2216" s="18"/>
      <c r="J2216" s="18"/>
      <c r="K2216" s="18"/>
      <c r="L2216" s="18"/>
      <c r="M2216" s="18"/>
      <c r="N2216" s="18"/>
      <c r="O2216" s="18"/>
      <c r="P2216" s="18"/>
      <c r="Q2216" s="18"/>
    </row>
    <row r="2217" spans="6:17">
      <c r="F2217" s="18"/>
      <c r="G2217" s="18"/>
      <c r="H2217" s="18"/>
      <c r="I2217" s="18"/>
      <c r="J2217" s="18"/>
      <c r="K2217" s="18"/>
      <c r="L2217" s="18"/>
      <c r="M2217" s="18"/>
      <c r="N2217" s="18"/>
      <c r="O2217" s="18"/>
      <c r="P2217" s="18"/>
      <c r="Q2217" s="18"/>
    </row>
    <row r="2218" spans="6:17">
      <c r="F2218" s="18"/>
      <c r="G2218" s="18"/>
      <c r="H2218" s="18"/>
      <c r="I2218" s="18"/>
      <c r="J2218" s="18"/>
      <c r="K2218" s="18"/>
      <c r="L2218" s="18"/>
      <c r="M2218" s="18"/>
      <c r="N2218" s="18"/>
      <c r="O2218" s="18"/>
      <c r="P2218" s="18"/>
      <c r="Q2218" s="18"/>
    </row>
    <row r="2219" spans="6:17">
      <c r="F2219" s="18"/>
      <c r="G2219" s="18"/>
      <c r="H2219" s="18"/>
      <c r="I2219" s="18"/>
      <c r="J2219" s="18"/>
      <c r="K2219" s="18"/>
      <c r="L2219" s="18"/>
      <c r="M2219" s="18"/>
      <c r="N2219" s="18"/>
      <c r="O2219" s="18"/>
      <c r="P2219" s="18"/>
      <c r="Q2219" s="18"/>
    </row>
    <row r="2220" spans="6:17">
      <c r="F2220" s="18"/>
      <c r="G2220" s="18"/>
      <c r="H2220" s="18"/>
      <c r="I2220" s="18"/>
      <c r="J2220" s="18"/>
      <c r="K2220" s="18"/>
      <c r="L2220" s="18"/>
      <c r="M2220" s="18"/>
      <c r="N2220" s="18"/>
      <c r="O2220" s="18"/>
      <c r="P2220" s="18"/>
      <c r="Q2220" s="18"/>
    </row>
    <row r="2221" spans="6:17">
      <c r="F2221" s="18"/>
      <c r="G2221" s="18"/>
      <c r="H2221" s="18"/>
      <c r="I2221" s="18"/>
      <c r="J2221" s="18"/>
      <c r="K2221" s="18"/>
      <c r="L2221" s="18"/>
      <c r="M2221" s="18"/>
      <c r="N2221" s="18"/>
      <c r="O2221" s="18"/>
      <c r="P2221" s="18"/>
      <c r="Q2221" s="18"/>
    </row>
    <row r="2222" spans="6:17">
      <c r="F2222" s="18"/>
      <c r="G2222" s="18"/>
      <c r="H2222" s="18"/>
      <c r="I2222" s="18"/>
      <c r="J2222" s="18"/>
      <c r="K2222" s="18"/>
      <c r="L2222" s="18"/>
      <c r="M2222" s="18"/>
      <c r="N2222" s="18"/>
      <c r="O2222" s="18"/>
      <c r="P2222" s="18"/>
      <c r="Q2222" s="18"/>
    </row>
    <row r="2223" spans="6:17">
      <c r="F2223" s="18"/>
      <c r="G2223" s="18"/>
      <c r="H2223" s="18"/>
      <c r="I2223" s="18"/>
      <c r="J2223" s="18"/>
      <c r="K2223" s="18"/>
      <c r="L2223" s="18"/>
      <c r="M2223" s="18"/>
      <c r="N2223" s="18"/>
      <c r="O2223" s="18"/>
      <c r="P2223" s="18"/>
      <c r="Q2223" s="18"/>
    </row>
    <row r="2224" spans="6:17">
      <c r="F2224" s="18"/>
      <c r="G2224" s="18"/>
      <c r="H2224" s="18"/>
      <c r="I2224" s="18"/>
      <c r="J2224" s="18"/>
      <c r="K2224" s="18"/>
      <c r="L2224" s="18"/>
      <c r="M2224" s="18"/>
      <c r="N2224" s="18"/>
      <c r="O2224" s="18"/>
      <c r="P2224" s="18"/>
      <c r="Q2224" s="18"/>
    </row>
    <row r="2225" spans="6:17">
      <c r="F2225" s="18"/>
      <c r="G2225" s="18"/>
      <c r="H2225" s="18"/>
      <c r="I2225" s="18"/>
      <c r="J2225" s="18"/>
      <c r="K2225" s="18"/>
      <c r="L2225" s="18"/>
      <c r="M2225" s="18"/>
      <c r="N2225" s="18"/>
      <c r="O2225" s="18"/>
      <c r="P2225" s="18"/>
      <c r="Q2225" s="18"/>
    </row>
    <row r="2226" spans="6:17">
      <c r="F2226" s="18"/>
      <c r="G2226" s="18"/>
      <c r="H2226" s="18"/>
      <c r="I2226" s="18"/>
      <c r="J2226" s="18"/>
      <c r="K2226" s="18"/>
      <c r="L2226" s="18"/>
      <c r="M2226" s="18"/>
      <c r="N2226" s="18"/>
      <c r="O2226" s="18"/>
      <c r="P2226" s="18"/>
      <c r="Q2226" s="18"/>
    </row>
    <row r="2227" spans="6:17">
      <c r="F2227" s="18"/>
      <c r="G2227" s="18"/>
      <c r="H2227" s="18"/>
      <c r="I2227" s="18"/>
      <c r="J2227" s="18"/>
      <c r="K2227" s="18"/>
      <c r="L2227" s="18"/>
      <c r="M2227" s="18"/>
      <c r="N2227" s="18"/>
      <c r="O2227" s="18"/>
      <c r="P2227" s="18"/>
      <c r="Q2227" s="18"/>
    </row>
    <row r="2228" spans="6:17">
      <c r="F2228" s="18"/>
      <c r="G2228" s="18"/>
      <c r="H2228" s="18"/>
      <c r="I2228" s="18"/>
      <c r="J2228" s="18"/>
      <c r="K2228" s="18"/>
      <c r="L2228" s="18"/>
      <c r="M2228" s="18"/>
      <c r="N2228" s="18"/>
      <c r="O2228" s="18"/>
      <c r="P2228" s="18"/>
      <c r="Q2228" s="18"/>
    </row>
    <row r="2229" spans="6:17">
      <c r="F2229" s="18"/>
      <c r="G2229" s="18"/>
      <c r="H2229" s="18"/>
      <c r="I2229" s="18"/>
      <c r="J2229" s="18"/>
      <c r="K2229" s="18"/>
      <c r="L2229" s="18"/>
      <c r="M2229" s="18"/>
      <c r="N2229" s="18"/>
      <c r="O2229" s="18"/>
      <c r="P2229" s="18"/>
      <c r="Q2229" s="18"/>
    </row>
    <row r="2230" spans="6:17">
      <c r="F2230" s="18"/>
      <c r="G2230" s="18"/>
      <c r="H2230" s="18"/>
      <c r="I2230" s="18"/>
      <c r="J2230" s="18"/>
      <c r="K2230" s="18"/>
      <c r="L2230" s="18"/>
      <c r="M2230" s="18"/>
      <c r="N2230" s="18"/>
      <c r="O2230" s="18"/>
      <c r="P2230" s="18"/>
      <c r="Q2230" s="18"/>
    </row>
    <row r="2231" spans="6:17">
      <c r="F2231" s="18"/>
      <c r="G2231" s="18"/>
      <c r="H2231" s="18"/>
      <c r="I2231" s="18"/>
      <c r="J2231" s="18"/>
      <c r="K2231" s="18"/>
      <c r="L2231" s="18"/>
      <c r="M2231" s="18"/>
      <c r="N2231" s="18"/>
      <c r="O2231" s="18"/>
      <c r="P2231" s="18"/>
      <c r="Q2231" s="18"/>
    </row>
    <row r="2232" spans="6:17">
      <c r="F2232" s="18"/>
      <c r="G2232" s="18"/>
      <c r="H2232" s="18"/>
      <c r="I2232" s="18"/>
      <c r="J2232" s="18"/>
      <c r="K2232" s="18"/>
      <c r="L2232" s="18"/>
      <c r="M2232" s="18"/>
      <c r="N2232" s="18"/>
      <c r="O2232" s="18"/>
      <c r="P2232" s="18"/>
      <c r="Q2232" s="18"/>
    </row>
    <row r="2233" spans="6:17">
      <c r="F2233" s="18"/>
      <c r="G2233" s="18"/>
      <c r="H2233" s="18"/>
      <c r="I2233" s="18"/>
      <c r="J2233" s="18"/>
      <c r="K2233" s="18"/>
      <c r="L2233" s="18"/>
      <c r="M2233" s="18"/>
      <c r="N2233" s="18"/>
      <c r="O2233" s="18"/>
      <c r="P2233" s="18"/>
      <c r="Q2233" s="18"/>
    </row>
    <row r="2234" spans="6:17">
      <c r="F2234" s="18"/>
      <c r="G2234" s="18"/>
      <c r="H2234" s="18"/>
      <c r="I2234" s="18"/>
      <c r="J2234" s="18"/>
      <c r="K2234" s="18"/>
      <c r="L2234" s="18"/>
      <c r="M2234" s="18"/>
      <c r="N2234" s="18"/>
      <c r="O2234" s="18"/>
      <c r="P2234" s="18"/>
      <c r="Q2234" s="18"/>
    </row>
    <row r="2235" spans="6:17">
      <c r="F2235" s="18"/>
      <c r="G2235" s="18"/>
      <c r="H2235" s="18"/>
      <c r="I2235" s="18"/>
      <c r="J2235" s="18"/>
      <c r="K2235" s="18"/>
      <c r="L2235" s="18"/>
      <c r="M2235" s="18"/>
      <c r="N2235" s="18"/>
      <c r="O2235" s="18"/>
      <c r="P2235" s="18"/>
      <c r="Q2235" s="18"/>
    </row>
    <row r="2236" spans="6:17">
      <c r="F2236" s="18"/>
      <c r="G2236" s="18"/>
      <c r="H2236" s="18"/>
      <c r="I2236" s="18"/>
      <c r="J2236" s="18"/>
      <c r="K2236" s="18"/>
      <c r="L2236" s="18"/>
      <c r="M2236" s="18"/>
      <c r="N2236" s="18"/>
      <c r="O2236" s="18"/>
      <c r="P2236" s="18"/>
      <c r="Q2236" s="18"/>
    </row>
    <row r="2237" spans="6:17">
      <c r="F2237" s="18"/>
      <c r="G2237" s="18"/>
      <c r="H2237" s="18"/>
      <c r="I2237" s="18"/>
      <c r="J2237" s="18"/>
      <c r="K2237" s="18"/>
      <c r="L2237" s="18"/>
      <c r="M2237" s="18"/>
      <c r="N2237" s="18"/>
      <c r="O2237" s="18"/>
      <c r="P2237" s="18"/>
      <c r="Q2237" s="18"/>
    </row>
    <row r="2238" spans="6:17">
      <c r="F2238" s="18"/>
      <c r="G2238" s="18"/>
      <c r="H2238" s="18"/>
      <c r="I2238" s="18"/>
      <c r="J2238" s="18"/>
      <c r="K2238" s="18"/>
      <c r="L2238" s="18"/>
      <c r="M2238" s="18"/>
      <c r="N2238" s="18"/>
      <c r="O2238" s="18"/>
      <c r="P2238" s="18"/>
      <c r="Q2238" s="18"/>
    </row>
    <row r="2239" spans="6:17">
      <c r="F2239" s="18"/>
      <c r="G2239" s="18"/>
      <c r="H2239" s="18"/>
      <c r="I2239" s="18"/>
      <c r="J2239" s="18"/>
      <c r="K2239" s="18"/>
      <c r="L2239" s="18"/>
      <c r="M2239" s="18"/>
      <c r="N2239" s="18"/>
      <c r="O2239" s="18"/>
      <c r="P2239" s="18"/>
      <c r="Q2239" s="18"/>
    </row>
    <row r="2240" spans="6:17">
      <c r="F2240" s="18"/>
      <c r="G2240" s="18"/>
      <c r="H2240" s="18"/>
      <c r="I2240" s="18"/>
      <c r="J2240" s="18"/>
      <c r="K2240" s="18"/>
      <c r="L2240" s="18"/>
      <c r="M2240" s="18"/>
      <c r="N2240" s="18"/>
      <c r="O2240" s="18"/>
      <c r="P2240" s="18"/>
      <c r="Q2240" s="18"/>
    </row>
    <row r="2241" spans="6:17">
      <c r="F2241" s="18"/>
      <c r="G2241" s="18"/>
      <c r="H2241" s="18"/>
      <c r="I2241" s="18"/>
      <c r="J2241" s="18"/>
      <c r="K2241" s="18"/>
      <c r="L2241" s="18"/>
      <c r="M2241" s="18"/>
      <c r="N2241" s="18"/>
      <c r="O2241" s="18"/>
      <c r="P2241" s="18"/>
      <c r="Q2241" s="18"/>
    </row>
    <row r="2242" spans="6:17">
      <c r="F2242" s="18"/>
      <c r="G2242" s="18"/>
      <c r="H2242" s="18"/>
      <c r="I2242" s="18"/>
      <c r="J2242" s="18"/>
      <c r="K2242" s="18"/>
      <c r="L2242" s="18"/>
      <c r="M2242" s="18"/>
      <c r="N2242" s="18"/>
      <c r="O2242" s="18"/>
      <c r="P2242" s="18"/>
      <c r="Q2242" s="18"/>
    </row>
    <row r="2243" spans="6:17">
      <c r="F2243" s="18"/>
      <c r="G2243" s="18"/>
      <c r="H2243" s="18"/>
      <c r="I2243" s="18"/>
      <c r="J2243" s="18"/>
      <c r="K2243" s="18"/>
      <c r="L2243" s="18"/>
      <c r="M2243" s="18"/>
      <c r="N2243" s="18"/>
      <c r="O2243" s="18"/>
      <c r="P2243" s="18"/>
      <c r="Q2243" s="18"/>
    </row>
    <row r="2244" spans="6:17">
      <c r="F2244" s="18"/>
      <c r="G2244" s="18"/>
      <c r="H2244" s="18"/>
      <c r="I2244" s="18"/>
      <c r="J2244" s="18"/>
      <c r="K2244" s="18"/>
      <c r="L2244" s="18"/>
      <c r="M2244" s="18"/>
      <c r="N2244" s="18"/>
      <c r="O2244" s="18"/>
      <c r="P2244" s="18"/>
      <c r="Q2244" s="18"/>
    </row>
    <row r="2245" spans="6:17">
      <c r="F2245" s="18"/>
      <c r="G2245" s="18"/>
      <c r="H2245" s="18"/>
      <c r="I2245" s="18"/>
      <c r="J2245" s="18"/>
      <c r="K2245" s="18"/>
      <c r="L2245" s="18"/>
      <c r="M2245" s="18"/>
      <c r="N2245" s="18"/>
      <c r="O2245" s="18"/>
      <c r="P2245" s="18"/>
      <c r="Q2245" s="18"/>
    </row>
    <row r="2246" spans="6:17">
      <c r="F2246" s="18"/>
      <c r="G2246" s="18"/>
      <c r="H2246" s="18"/>
      <c r="I2246" s="18"/>
      <c r="J2246" s="18"/>
      <c r="K2246" s="18"/>
      <c r="L2246" s="18"/>
      <c r="M2246" s="18"/>
      <c r="N2246" s="18"/>
      <c r="O2246" s="18"/>
      <c r="P2246" s="18"/>
      <c r="Q2246" s="18"/>
    </row>
    <row r="2247" spans="6:17">
      <c r="F2247" s="18"/>
      <c r="G2247" s="18"/>
      <c r="H2247" s="18"/>
      <c r="I2247" s="18"/>
      <c r="J2247" s="18"/>
      <c r="K2247" s="18"/>
      <c r="L2247" s="18"/>
      <c r="M2247" s="18"/>
      <c r="N2247" s="18"/>
      <c r="O2247" s="18"/>
      <c r="P2247" s="18"/>
      <c r="Q2247" s="18"/>
    </row>
    <row r="2248" spans="6:17">
      <c r="F2248" s="18"/>
      <c r="G2248" s="18"/>
      <c r="H2248" s="18"/>
      <c r="I2248" s="18"/>
      <c r="J2248" s="18"/>
      <c r="K2248" s="18"/>
      <c r="L2248" s="18"/>
      <c r="M2248" s="18"/>
      <c r="N2248" s="18"/>
      <c r="O2248" s="18"/>
      <c r="P2248" s="18"/>
      <c r="Q2248" s="18"/>
    </row>
    <row r="2249" spans="6:17">
      <c r="F2249" s="18"/>
      <c r="G2249" s="18"/>
      <c r="H2249" s="18"/>
      <c r="I2249" s="18"/>
      <c r="J2249" s="18"/>
      <c r="K2249" s="18"/>
      <c r="L2249" s="18"/>
      <c r="M2249" s="18"/>
      <c r="N2249" s="18"/>
      <c r="O2249" s="18"/>
      <c r="P2249" s="18"/>
      <c r="Q2249" s="18"/>
    </row>
    <row r="2250" spans="6:17">
      <c r="F2250" s="18"/>
      <c r="G2250" s="18"/>
      <c r="H2250" s="18"/>
      <c r="I2250" s="18"/>
      <c r="J2250" s="18"/>
      <c r="K2250" s="18"/>
      <c r="L2250" s="18"/>
      <c r="M2250" s="18"/>
      <c r="N2250" s="18"/>
      <c r="O2250" s="18"/>
      <c r="P2250" s="18"/>
      <c r="Q2250" s="18"/>
    </row>
    <row r="2251" spans="6:17">
      <c r="F2251" s="18"/>
      <c r="G2251" s="18"/>
      <c r="H2251" s="18"/>
      <c r="I2251" s="18"/>
      <c r="J2251" s="18"/>
      <c r="K2251" s="18"/>
      <c r="L2251" s="18"/>
      <c r="M2251" s="18"/>
      <c r="N2251" s="18"/>
      <c r="O2251" s="18"/>
      <c r="P2251" s="18"/>
      <c r="Q2251" s="18"/>
    </row>
    <row r="2252" spans="6:17">
      <c r="F2252" s="18"/>
      <c r="G2252" s="18"/>
      <c r="H2252" s="18"/>
      <c r="I2252" s="18"/>
      <c r="J2252" s="18"/>
      <c r="K2252" s="18"/>
      <c r="L2252" s="18"/>
      <c r="M2252" s="18"/>
      <c r="N2252" s="18"/>
      <c r="O2252" s="18"/>
      <c r="P2252" s="18"/>
      <c r="Q2252" s="18"/>
    </row>
    <row r="2253" spans="6:17">
      <c r="F2253" s="18"/>
      <c r="G2253" s="18"/>
      <c r="H2253" s="18"/>
      <c r="I2253" s="18"/>
      <c r="J2253" s="18"/>
      <c r="K2253" s="18"/>
      <c r="L2253" s="18"/>
      <c r="M2253" s="18"/>
      <c r="N2253" s="18"/>
      <c r="O2253" s="18"/>
      <c r="P2253" s="18"/>
      <c r="Q2253" s="18"/>
    </row>
    <row r="2254" spans="6:17">
      <c r="F2254" s="18"/>
      <c r="G2254" s="18"/>
      <c r="H2254" s="18"/>
      <c r="I2254" s="18"/>
      <c r="J2254" s="18"/>
      <c r="K2254" s="18"/>
      <c r="L2254" s="18"/>
      <c r="M2254" s="18"/>
      <c r="N2254" s="18"/>
      <c r="O2254" s="18"/>
      <c r="P2254" s="18"/>
      <c r="Q2254" s="18"/>
    </row>
    <row r="2255" spans="6:17">
      <c r="F2255" s="18"/>
      <c r="G2255" s="18"/>
      <c r="H2255" s="18"/>
      <c r="I2255" s="18"/>
      <c r="J2255" s="18"/>
      <c r="K2255" s="18"/>
      <c r="L2255" s="18"/>
      <c r="M2255" s="18"/>
      <c r="N2255" s="18"/>
      <c r="O2255" s="18"/>
      <c r="P2255" s="18"/>
      <c r="Q2255" s="18"/>
    </row>
    <row r="2256" spans="6:17">
      <c r="F2256" s="18"/>
      <c r="G2256" s="18"/>
      <c r="H2256" s="18"/>
      <c r="I2256" s="18"/>
      <c r="J2256" s="18"/>
      <c r="K2256" s="18"/>
      <c r="L2256" s="18"/>
      <c r="M2256" s="18"/>
      <c r="N2256" s="18"/>
      <c r="O2256" s="18"/>
      <c r="P2256" s="18"/>
      <c r="Q2256" s="18"/>
    </row>
    <row r="2257" spans="6:17">
      <c r="F2257" s="18"/>
      <c r="G2257" s="18"/>
      <c r="H2257" s="18"/>
      <c r="I2257" s="18"/>
      <c r="J2257" s="18"/>
      <c r="K2257" s="18"/>
      <c r="L2257" s="18"/>
      <c r="M2257" s="18"/>
      <c r="N2257" s="18"/>
      <c r="O2257" s="18"/>
      <c r="P2257" s="18"/>
      <c r="Q2257" s="18"/>
    </row>
    <row r="2258" spans="6:17">
      <c r="F2258" s="18"/>
      <c r="G2258" s="18"/>
      <c r="H2258" s="18"/>
      <c r="I2258" s="18"/>
      <c r="J2258" s="18"/>
      <c r="K2258" s="18"/>
      <c r="L2258" s="18"/>
      <c r="M2258" s="18"/>
      <c r="N2258" s="18"/>
      <c r="O2258" s="18"/>
      <c r="P2258" s="18"/>
      <c r="Q2258" s="18"/>
    </row>
    <row r="2259" spans="6:17">
      <c r="F2259" s="18"/>
      <c r="G2259" s="18"/>
      <c r="H2259" s="18"/>
      <c r="I2259" s="18"/>
      <c r="J2259" s="18"/>
      <c r="K2259" s="18"/>
      <c r="L2259" s="18"/>
      <c r="M2259" s="18"/>
      <c r="N2259" s="18"/>
      <c r="O2259" s="18"/>
      <c r="P2259" s="18"/>
      <c r="Q2259" s="18"/>
    </row>
    <row r="2260" spans="6:17">
      <c r="F2260" s="18"/>
      <c r="G2260" s="18"/>
      <c r="H2260" s="18"/>
      <c r="I2260" s="18"/>
      <c r="J2260" s="18"/>
      <c r="K2260" s="18"/>
      <c r="L2260" s="18"/>
      <c r="M2260" s="18"/>
      <c r="N2260" s="18"/>
      <c r="O2260" s="18"/>
      <c r="P2260" s="18"/>
      <c r="Q2260" s="18"/>
    </row>
    <row r="2261" spans="6:17">
      <c r="F2261" s="18"/>
      <c r="G2261" s="18"/>
      <c r="H2261" s="18"/>
      <c r="I2261" s="18"/>
      <c r="J2261" s="18"/>
      <c r="K2261" s="18"/>
      <c r="L2261" s="18"/>
      <c r="M2261" s="18"/>
      <c r="N2261" s="18"/>
      <c r="O2261" s="18"/>
      <c r="P2261" s="18"/>
      <c r="Q2261" s="18"/>
    </row>
    <row r="2262" spans="6:17">
      <c r="F2262" s="18"/>
      <c r="G2262" s="18"/>
      <c r="H2262" s="18"/>
      <c r="I2262" s="18"/>
      <c r="J2262" s="18"/>
      <c r="K2262" s="18"/>
      <c r="L2262" s="18"/>
      <c r="M2262" s="18"/>
      <c r="N2262" s="18"/>
      <c r="O2262" s="18"/>
      <c r="P2262" s="18"/>
      <c r="Q2262" s="18"/>
    </row>
    <row r="2263" spans="6:17">
      <c r="F2263" s="18"/>
      <c r="G2263" s="18"/>
      <c r="H2263" s="18"/>
      <c r="I2263" s="18"/>
      <c r="J2263" s="18"/>
      <c r="K2263" s="18"/>
      <c r="L2263" s="18"/>
      <c r="M2263" s="18"/>
      <c r="N2263" s="18"/>
      <c r="O2263" s="18"/>
      <c r="P2263" s="18"/>
      <c r="Q2263" s="18"/>
    </row>
    <row r="2264" spans="6:17">
      <c r="F2264" s="18"/>
      <c r="G2264" s="18"/>
      <c r="H2264" s="18"/>
      <c r="I2264" s="18"/>
      <c r="J2264" s="18"/>
      <c r="K2264" s="18"/>
      <c r="L2264" s="18"/>
      <c r="M2264" s="18"/>
      <c r="N2264" s="18"/>
      <c r="O2264" s="18"/>
      <c r="P2264" s="18"/>
      <c r="Q2264" s="18"/>
    </row>
    <row r="2265" spans="6:17">
      <c r="F2265" s="18"/>
      <c r="G2265" s="18"/>
      <c r="H2265" s="18"/>
      <c r="I2265" s="18"/>
      <c r="J2265" s="18"/>
      <c r="K2265" s="18"/>
      <c r="L2265" s="18"/>
      <c r="M2265" s="18"/>
      <c r="N2265" s="18"/>
      <c r="O2265" s="18"/>
      <c r="P2265" s="18"/>
      <c r="Q2265" s="18"/>
    </row>
    <row r="2266" spans="6:17">
      <c r="F2266" s="18"/>
      <c r="G2266" s="18"/>
      <c r="H2266" s="18"/>
      <c r="I2266" s="18"/>
      <c r="J2266" s="18"/>
      <c r="K2266" s="18"/>
      <c r="L2266" s="18"/>
      <c r="M2266" s="18"/>
      <c r="N2266" s="18"/>
      <c r="O2266" s="18"/>
      <c r="P2266" s="18"/>
      <c r="Q2266" s="18"/>
    </row>
    <row r="2267" spans="6:17">
      <c r="F2267" s="18"/>
      <c r="G2267" s="18"/>
      <c r="H2267" s="18"/>
      <c r="I2267" s="18"/>
      <c r="J2267" s="18"/>
      <c r="K2267" s="18"/>
      <c r="L2267" s="18"/>
      <c r="M2267" s="18"/>
      <c r="N2267" s="18"/>
      <c r="O2267" s="18"/>
      <c r="P2267" s="18"/>
      <c r="Q2267" s="18"/>
    </row>
    <row r="2268" spans="6:17">
      <c r="F2268" s="18"/>
      <c r="G2268" s="18"/>
      <c r="H2268" s="18"/>
      <c r="I2268" s="18"/>
      <c r="J2268" s="18"/>
      <c r="K2268" s="18"/>
      <c r="L2268" s="18"/>
      <c r="M2268" s="18"/>
      <c r="N2268" s="18"/>
      <c r="O2268" s="18"/>
      <c r="P2268" s="18"/>
      <c r="Q2268" s="18"/>
    </row>
    <row r="2269" spans="6:17">
      <c r="F2269" s="18"/>
      <c r="G2269" s="18"/>
      <c r="H2269" s="18"/>
      <c r="I2269" s="18"/>
      <c r="J2269" s="18"/>
      <c r="K2269" s="18"/>
      <c r="L2269" s="18"/>
      <c r="M2269" s="18"/>
      <c r="N2269" s="18"/>
      <c r="O2269" s="18"/>
      <c r="P2269" s="18"/>
      <c r="Q2269" s="18"/>
    </row>
    <row r="2270" spans="6:17">
      <c r="F2270" s="18"/>
      <c r="G2270" s="18"/>
      <c r="H2270" s="18"/>
      <c r="I2270" s="18"/>
      <c r="J2270" s="18"/>
      <c r="K2270" s="18"/>
      <c r="L2270" s="18"/>
      <c r="M2270" s="18"/>
      <c r="N2270" s="18"/>
      <c r="O2270" s="18"/>
      <c r="P2270" s="18"/>
      <c r="Q2270" s="18"/>
    </row>
    <row r="2271" spans="6:17">
      <c r="F2271" s="18"/>
      <c r="G2271" s="18"/>
      <c r="H2271" s="18"/>
      <c r="I2271" s="18"/>
      <c r="J2271" s="18"/>
      <c r="K2271" s="18"/>
      <c r="L2271" s="18"/>
      <c r="M2271" s="18"/>
      <c r="N2271" s="18"/>
      <c r="O2271" s="18"/>
      <c r="P2271" s="18"/>
      <c r="Q2271" s="18"/>
    </row>
    <row r="2272" spans="6:17">
      <c r="F2272" s="18"/>
      <c r="G2272" s="18"/>
      <c r="H2272" s="18"/>
      <c r="I2272" s="18"/>
      <c r="J2272" s="18"/>
      <c r="K2272" s="18"/>
      <c r="L2272" s="18"/>
      <c r="M2272" s="18"/>
      <c r="N2272" s="18"/>
      <c r="O2272" s="18"/>
      <c r="P2272" s="18"/>
      <c r="Q2272" s="18"/>
    </row>
    <row r="2273" spans="6:17">
      <c r="F2273" s="18"/>
      <c r="G2273" s="18"/>
      <c r="H2273" s="18"/>
      <c r="I2273" s="18"/>
      <c r="J2273" s="18"/>
      <c r="K2273" s="18"/>
      <c r="L2273" s="18"/>
      <c r="M2273" s="18"/>
      <c r="N2273" s="18"/>
      <c r="O2273" s="18"/>
      <c r="P2273" s="18"/>
      <c r="Q2273" s="18"/>
    </row>
    <row r="2274" spans="6:17">
      <c r="F2274" s="18"/>
      <c r="G2274" s="18"/>
      <c r="H2274" s="18"/>
      <c r="I2274" s="18"/>
      <c r="J2274" s="18"/>
      <c r="K2274" s="18"/>
      <c r="L2274" s="18"/>
      <c r="M2274" s="18"/>
      <c r="N2274" s="18"/>
      <c r="O2274" s="18"/>
      <c r="P2274" s="18"/>
      <c r="Q2274" s="18"/>
    </row>
    <row r="2275" spans="6:17">
      <c r="F2275" s="18"/>
      <c r="G2275" s="18"/>
      <c r="H2275" s="18"/>
      <c r="I2275" s="18"/>
      <c r="J2275" s="18"/>
      <c r="K2275" s="18"/>
      <c r="L2275" s="18"/>
      <c r="M2275" s="18"/>
      <c r="N2275" s="18"/>
      <c r="O2275" s="18"/>
      <c r="P2275" s="18"/>
      <c r="Q2275" s="18"/>
    </row>
    <row r="2276" spans="6:17">
      <c r="F2276" s="18"/>
      <c r="G2276" s="18"/>
      <c r="H2276" s="18"/>
      <c r="I2276" s="18"/>
      <c r="J2276" s="18"/>
      <c r="K2276" s="18"/>
      <c r="L2276" s="18"/>
      <c r="M2276" s="18"/>
      <c r="N2276" s="18"/>
      <c r="O2276" s="18"/>
      <c r="P2276" s="18"/>
      <c r="Q2276" s="18"/>
    </row>
    <row r="2277" spans="6:17">
      <c r="F2277" s="18"/>
      <c r="G2277" s="18"/>
      <c r="H2277" s="18"/>
      <c r="I2277" s="18"/>
      <c r="J2277" s="18"/>
      <c r="K2277" s="18"/>
      <c r="L2277" s="18"/>
      <c r="M2277" s="18"/>
      <c r="N2277" s="18"/>
      <c r="O2277" s="18"/>
      <c r="P2277" s="18"/>
      <c r="Q2277" s="18"/>
    </row>
    <row r="2278" spans="6:17">
      <c r="F2278" s="18"/>
      <c r="G2278" s="18"/>
      <c r="H2278" s="18"/>
      <c r="I2278" s="18"/>
      <c r="J2278" s="18"/>
      <c r="K2278" s="18"/>
      <c r="L2278" s="18"/>
      <c r="M2278" s="18"/>
      <c r="N2278" s="18"/>
      <c r="O2278" s="18"/>
      <c r="P2278" s="18"/>
      <c r="Q2278" s="18"/>
    </row>
    <row r="2279" spans="6:17">
      <c r="F2279" s="18"/>
      <c r="G2279" s="18"/>
      <c r="H2279" s="18"/>
      <c r="I2279" s="18"/>
      <c r="J2279" s="18"/>
      <c r="K2279" s="18"/>
      <c r="L2279" s="18"/>
      <c r="M2279" s="18"/>
      <c r="N2279" s="18"/>
      <c r="O2279" s="18"/>
      <c r="P2279" s="18"/>
      <c r="Q2279" s="18"/>
    </row>
    <row r="2280" spans="6:17">
      <c r="F2280" s="18"/>
      <c r="G2280" s="18"/>
      <c r="H2280" s="18"/>
      <c r="I2280" s="18"/>
      <c r="J2280" s="18"/>
      <c r="K2280" s="18"/>
      <c r="L2280" s="18"/>
      <c r="M2280" s="18"/>
      <c r="N2280" s="18"/>
      <c r="O2280" s="18"/>
      <c r="P2280" s="18"/>
      <c r="Q2280" s="18"/>
    </row>
    <row r="2281" spans="6:17">
      <c r="F2281" s="18"/>
      <c r="G2281" s="18"/>
      <c r="H2281" s="18"/>
      <c r="I2281" s="18"/>
      <c r="J2281" s="18"/>
      <c r="K2281" s="18"/>
      <c r="L2281" s="18"/>
      <c r="M2281" s="18"/>
      <c r="N2281" s="18"/>
      <c r="O2281" s="18"/>
      <c r="P2281" s="18"/>
      <c r="Q2281" s="18"/>
    </row>
    <row r="2282" spans="6:17">
      <c r="F2282" s="18"/>
      <c r="G2282" s="18"/>
      <c r="H2282" s="18"/>
      <c r="I2282" s="18"/>
      <c r="J2282" s="18"/>
      <c r="K2282" s="18"/>
      <c r="L2282" s="18"/>
      <c r="M2282" s="18"/>
      <c r="N2282" s="18"/>
      <c r="O2282" s="18"/>
      <c r="P2282" s="18"/>
      <c r="Q2282" s="18"/>
    </row>
    <row r="2283" spans="6:17">
      <c r="F2283" s="18"/>
      <c r="G2283" s="18"/>
      <c r="H2283" s="18"/>
      <c r="I2283" s="18"/>
      <c r="J2283" s="18"/>
      <c r="K2283" s="18"/>
      <c r="L2283" s="18"/>
      <c r="M2283" s="18"/>
      <c r="N2283" s="18"/>
      <c r="O2283" s="18"/>
      <c r="P2283" s="18"/>
      <c r="Q2283" s="18"/>
    </row>
    <row r="2284" spans="6:17">
      <c r="F2284" s="18"/>
      <c r="G2284" s="18"/>
      <c r="H2284" s="18"/>
      <c r="I2284" s="18"/>
      <c r="J2284" s="18"/>
      <c r="K2284" s="18"/>
      <c r="L2284" s="18"/>
      <c r="M2284" s="18"/>
      <c r="N2284" s="18"/>
      <c r="O2284" s="18"/>
      <c r="P2284" s="18"/>
      <c r="Q2284" s="18"/>
    </row>
    <row r="2285" spans="6:17">
      <c r="F2285" s="18"/>
      <c r="G2285" s="18"/>
      <c r="H2285" s="18"/>
      <c r="I2285" s="18"/>
      <c r="J2285" s="18"/>
      <c r="K2285" s="18"/>
      <c r="L2285" s="18"/>
      <c r="M2285" s="18"/>
      <c r="N2285" s="18"/>
      <c r="O2285" s="18"/>
      <c r="P2285" s="18"/>
      <c r="Q2285" s="18"/>
    </row>
    <row r="2286" spans="6:17">
      <c r="F2286" s="18"/>
      <c r="G2286" s="18"/>
      <c r="H2286" s="18"/>
      <c r="I2286" s="18"/>
      <c r="J2286" s="18"/>
      <c r="K2286" s="18"/>
      <c r="L2286" s="18"/>
      <c r="M2286" s="18"/>
      <c r="N2286" s="18"/>
      <c r="O2286" s="18"/>
      <c r="P2286" s="18"/>
      <c r="Q2286" s="18"/>
    </row>
    <row r="2287" spans="6:17">
      <c r="F2287" s="18"/>
      <c r="G2287" s="18"/>
      <c r="H2287" s="18"/>
      <c r="I2287" s="18"/>
      <c r="J2287" s="18"/>
      <c r="K2287" s="18"/>
      <c r="L2287" s="18"/>
      <c r="M2287" s="18"/>
      <c r="N2287" s="18"/>
      <c r="O2287" s="18"/>
      <c r="P2287" s="18"/>
      <c r="Q2287" s="18"/>
    </row>
    <row r="2288" spans="6:17">
      <c r="F2288" s="18"/>
      <c r="G2288" s="18"/>
      <c r="H2288" s="18"/>
      <c r="I2288" s="18"/>
      <c r="J2288" s="18"/>
      <c r="K2288" s="18"/>
      <c r="L2288" s="18"/>
      <c r="M2288" s="18"/>
      <c r="N2288" s="18"/>
      <c r="O2288" s="18"/>
      <c r="P2288" s="18"/>
      <c r="Q2288" s="18"/>
    </row>
    <row r="2289" spans="6:17">
      <c r="F2289" s="18"/>
      <c r="G2289" s="18"/>
      <c r="H2289" s="18"/>
      <c r="I2289" s="18"/>
      <c r="J2289" s="18"/>
      <c r="K2289" s="18"/>
      <c r="L2289" s="18"/>
      <c r="M2289" s="18"/>
      <c r="N2289" s="18"/>
      <c r="O2289" s="18"/>
      <c r="P2289" s="18"/>
      <c r="Q2289" s="18"/>
    </row>
    <row r="2290" spans="6:17">
      <c r="F2290" s="18"/>
      <c r="G2290" s="18"/>
      <c r="H2290" s="18"/>
      <c r="I2290" s="18"/>
      <c r="J2290" s="18"/>
      <c r="K2290" s="18"/>
      <c r="L2290" s="18"/>
      <c r="M2290" s="18"/>
      <c r="N2290" s="18"/>
      <c r="O2290" s="18"/>
      <c r="P2290" s="18"/>
      <c r="Q2290" s="18"/>
    </row>
    <row r="2291" spans="6:17">
      <c r="F2291" s="18"/>
      <c r="G2291" s="18"/>
      <c r="H2291" s="18"/>
      <c r="I2291" s="18"/>
      <c r="J2291" s="18"/>
      <c r="K2291" s="18"/>
      <c r="L2291" s="18"/>
      <c r="M2291" s="18"/>
      <c r="N2291" s="18"/>
      <c r="O2291" s="18"/>
      <c r="P2291" s="18"/>
      <c r="Q2291" s="18"/>
    </row>
    <row r="2292" spans="6:17">
      <c r="F2292" s="18"/>
      <c r="G2292" s="18"/>
      <c r="H2292" s="18"/>
      <c r="I2292" s="18"/>
      <c r="J2292" s="18"/>
      <c r="K2292" s="18"/>
      <c r="L2292" s="18"/>
      <c r="M2292" s="18"/>
      <c r="N2292" s="18"/>
      <c r="O2292" s="18"/>
      <c r="P2292" s="18"/>
      <c r="Q2292" s="18"/>
    </row>
    <row r="2293" spans="6:17">
      <c r="F2293" s="18"/>
      <c r="G2293" s="18"/>
      <c r="H2293" s="18"/>
      <c r="I2293" s="18"/>
      <c r="J2293" s="18"/>
      <c r="K2293" s="18"/>
      <c r="L2293" s="18"/>
      <c r="M2293" s="18"/>
      <c r="N2293" s="18"/>
      <c r="O2293" s="18"/>
      <c r="P2293" s="18"/>
      <c r="Q2293" s="18"/>
    </row>
    <row r="2294" spans="6:17">
      <c r="F2294" s="18"/>
      <c r="G2294" s="18"/>
      <c r="H2294" s="18"/>
      <c r="I2294" s="18"/>
      <c r="J2294" s="18"/>
      <c r="K2294" s="18"/>
      <c r="L2294" s="18"/>
      <c r="M2294" s="18"/>
      <c r="N2294" s="18"/>
      <c r="O2294" s="18"/>
      <c r="P2294" s="18"/>
      <c r="Q2294" s="18"/>
    </row>
    <row r="2295" spans="6:17">
      <c r="F2295" s="18"/>
      <c r="G2295" s="18"/>
      <c r="H2295" s="18"/>
      <c r="I2295" s="18"/>
      <c r="J2295" s="18"/>
      <c r="K2295" s="18"/>
      <c r="L2295" s="18"/>
      <c r="M2295" s="18"/>
      <c r="N2295" s="18"/>
      <c r="O2295" s="18"/>
      <c r="P2295" s="18"/>
      <c r="Q2295" s="18"/>
    </row>
    <row r="2296" spans="6:17">
      <c r="F2296" s="18"/>
      <c r="G2296" s="18"/>
      <c r="H2296" s="18"/>
      <c r="I2296" s="18"/>
      <c r="J2296" s="18"/>
      <c r="K2296" s="18"/>
      <c r="L2296" s="18"/>
      <c r="M2296" s="18"/>
      <c r="N2296" s="18"/>
      <c r="O2296" s="18"/>
      <c r="P2296" s="18"/>
      <c r="Q2296" s="18"/>
    </row>
    <row r="2297" spans="6:17">
      <c r="F2297" s="18"/>
      <c r="G2297" s="18"/>
      <c r="H2297" s="18"/>
      <c r="I2297" s="18"/>
      <c r="J2297" s="18"/>
      <c r="K2297" s="18"/>
      <c r="L2297" s="18"/>
      <c r="M2297" s="18"/>
      <c r="N2297" s="18"/>
      <c r="O2297" s="18"/>
      <c r="P2297" s="18"/>
      <c r="Q2297" s="18"/>
    </row>
    <row r="2298" spans="6:17">
      <c r="F2298" s="18"/>
      <c r="G2298" s="18"/>
      <c r="H2298" s="18"/>
      <c r="I2298" s="18"/>
      <c r="J2298" s="18"/>
      <c r="K2298" s="18"/>
      <c r="L2298" s="18"/>
      <c r="M2298" s="18"/>
      <c r="N2298" s="18"/>
      <c r="O2298" s="18"/>
      <c r="P2298" s="18"/>
      <c r="Q2298" s="18"/>
    </row>
    <row r="2299" spans="6:17">
      <c r="F2299" s="18"/>
      <c r="G2299" s="18"/>
      <c r="H2299" s="18"/>
      <c r="I2299" s="18"/>
      <c r="J2299" s="18"/>
      <c r="K2299" s="18"/>
      <c r="L2299" s="18"/>
      <c r="M2299" s="18"/>
      <c r="N2299" s="18"/>
      <c r="O2299" s="18"/>
      <c r="P2299" s="18"/>
      <c r="Q2299" s="18"/>
    </row>
    <row r="2300" spans="6:17">
      <c r="F2300" s="18"/>
      <c r="G2300" s="18"/>
      <c r="H2300" s="18"/>
      <c r="I2300" s="18"/>
      <c r="J2300" s="18"/>
      <c r="K2300" s="18"/>
      <c r="L2300" s="18"/>
      <c r="M2300" s="18"/>
      <c r="N2300" s="18"/>
      <c r="O2300" s="18"/>
      <c r="P2300" s="18"/>
      <c r="Q2300" s="18"/>
    </row>
    <row r="2301" spans="6:17">
      <c r="F2301" s="18"/>
      <c r="G2301" s="18"/>
      <c r="H2301" s="18"/>
      <c r="I2301" s="18"/>
      <c r="J2301" s="18"/>
      <c r="K2301" s="18"/>
      <c r="L2301" s="18"/>
      <c r="M2301" s="18"/>
      <c r="N2301" s="18"/>
      <c r="O2301" s="18"/>
      <c r="P2301" s="18"/>
      <c r="Q2301" s="18"/>
    </row>
    <row r="2302" spans="6:17">
      <c r="F2302" s="18"/>
      <c r="G2302" s="18"/>
      <c r="H2302" s="18"/>
      <c r="I2302" s="18"/>
      <c r="J2302" s="18"/>
      <c r="K2302" s="18"/>
      <c r="L2302" s="18"/>
      <c r="M2302" s="18"/>
      <c r="N2302" s="18"/>
      <c r="O2302" s="18"/>
      <c r="P2302" s="18"/>
      <c r="Q2302" s="18"/>
    </row>
    <row r="2303" spans="6:17">
      <c r="F2303" s="18"/>
      <c r="G2303" s="18"/>
      <c r="H2303" s="18"/>
      <c r="I2303" s="18"/>
      <c r="J2303" s="18"/>
      <c r="K2303" s="18"/>
      <c r="L2303" s="18"/>
      <c r="M2303" s="18"/>
      <c r="N2303" s="18"/>
      <c r="O2303" s="18"/>
      <c r="P2303" s="18"/>
      <c r="Q2303" s="18"/>
    </row>
    <row r="2304" spans="6:17">
      <c r="F2304" s="18"/>
      <c r="G2304" s="18"/>
      <c r="H2304" s="18"/>
      <c r="I2304" s="18"/>
      <c r="J2304" s="18"/>
      <c r="K2304" s="18"/>
      <c r="L2304" s="18"/>
      <c r="M2304" s="18"/>
      <c r="N2304" s="18"/>
      <c r="O2304" s="18"/>
      <c r="P2304" s="18"/>
      <c r="Q2304" s="18"/>
    </row>
    <row r="2305" spans="6:17">
      <c r="F2305" s="18"/>
      <c r="G2305" s="18"/>
      <c r="H2305" s="18"/>
      <c r="I2305" s="18"/>
      <c r="J2305" s="18"/>
      <c r="K2305" s="18"/>
      <c r="L2305" s="18"/>
      <c r="M2305" s="18"/>
      <c r="N2305" s="18"/>
      <c r="O2305" s="18"/>
      <c r="P2305" s="18"/>
      <c r="Q2305" s="18"/>
    </row>
    <row r="2306" spans="6:17">
      <c r="F2306" s="18"/>
      <c r="G2306" s="18"/>
      <c r="H2306" s="18"/>
      <c r="I2306" s="18"/>
      <c r="J2306" s="18"/>
      <c r="K2306" s="18"/>
      <c r="L2306" s="18"/>
      <c r="M2306" s="18"/>
      <c r="N2306" s="18"/>
      <c r="O2306" s="18"/>
      <c r="P2306" s="18"/>
      <c r="Q2306" s="18"/>
    </row>
    <row r="2307" spans="6:17">
      <c r="F2307" s="18"/>
      <c r="G2307" s="18"/>
      <c r="H2307" s="18"/>
      <c r="I2307" s="18"/>
      <c r="J2307" s="18"/>
      <c r="K2307" s="18"/>
      <c r="L2307" s="18"/>
      <c r="M2307" s="18"/>
      <c r="N2307" s="18"/>
      <c r="O2307" s="18"/>
      <c r="P2307" s="18"/>
      <c r="Q2307" s="18"/>
    </row>
    <row r="2308" spans="6:17">
      <c r="F2308" s="18"/>
      <c r="G2308" s="18"/>
      <c r="H2308" s="18"/>
      <c r="I2308" s="18"/>
      <c r="J2308" s="18"/>
      <c r="K2308" s="18"/>
      <c r="L2308" s="18"/>
      <c r="M2308" s="18"/>
      <c r="N2308" s="18"/>
      <c r="O2308" s="18"/>
      <c r="P2308" s="18"/>
      <c r="Q2308" s="18"/>
    </row>
    <row r="2309" spans="6:17">
      <c r="F2309" s="18"/>
      <c r="G2309" s="18"/>
      <c r="H2309" s="18"/>
      <c r="I2309" s="18"/>
      <c r="J2309" s="18"/>
      <c r="K2309" s="18"/>
      <c r="L2309" s="18"/>
      <c r="M2309" s="18"/>
      <c r="N2309" s="18"/>
      <c r="O2309" s="18"/>
      <c r="P2309" s="18"/>
      <c r="Q2309" s="18"/>
    </row>
    <row r="2310" spans="6:17">
      <c r="F2310" s="18"/>
      <c r="G2310" s="18"/>
      <c r="H2310" s="18"/>
      <c r="I2310" s="18"/>
      <c r="J2310" s="18"/>
      <c r="K2310" s="18"/>
      <c r="L2310" s="18"/>
      <c r="M2310" s="18"/>
      <c r="N2310" s="18"/>
      <c r="O2310" s="18"/>
      <c r="P2310" s="18"/>
      <c r="Q2310" s="18"/>
    </row>
    <row r="2311" spans="6:17">
      <c r="F2311" s="18"/>
      <c r="G2311" s="18"/>
      <c r="H2311" s="18"/>
      <c r="I2311" s="18"/>
      <c r="J2311" s="18"/>
      <c r="K2311" s="18"/>
      <c r="L2311" s="18"/>
      <c r="M2311" s="18"/>
      <c r="N2311" s="18"/>
      <c r="O2311" s="18"/>
      <c r="P2311" s="18"/>
      <c r="Q2311" s="18"/>
    </row>
    <row r="2312" spans="6:17">
      <c r="F2312" s="18"/>
      <c r="G2312" s="18"/>
      <c r="H2312" s="18"/>
      <c r="I2312" s="18"/>
      <c r="J2312" s="18"/>
      <c r="K2312" s="18"/>
      <c r="L2312" s="18"/>
      <c r="M2312" s="18"/>
      <c r="N2312" s="18"/>
      <c r="O2312" s="18"/>
      <c r="P2312" s="18"/>
      <c r="Q2312" s="18"/>
    </row>
    <row r="2313" spans="6:17">
      <c r="F2313" s="18"/>
      <c r="G2313" s="18"/>
      <c r="H2313" s="18"/>
      <c r="I2313" s="18"/>
      <c r="J2313" s="18"/>
      <c r="K2313" s="18"/>
      <c r="L2313" s="18"/>
      <c r="M2313" s="18"/>
      <c r="N2313" s="18"/>
      <c r="O2313" s="18"/>
      <c r="P2313" s="18"/>
      <c r="Q2313" s="18"/>
    </row>
    <row r="2314" spans="6:17">
      <c r="F2314" s="18"/>
      <c r="G2314" s="18"/>
      <c r="H2314" s="18"/>
      <c r="I2314" s="18"/>
      <c r="J2314" s="18"/>
      <c r="K2314" s="18"/>
      <c r="L2314" s="18"/>
      <c r="M2314" s="18"/>
      <c r="N2314" s="18"/>
      <c r="O2314" s="18"/>
      <c r="P2314" s="18"/>
      <c r="Q2314" s="18"/>
    </row>
    <row r="2315" spans="6:17">
      <c r="F2315" s="18"/>
      <c r="G2315" s="18"/>
      <c r="H2315" s="18"/>
      <c r="I2315" s="18"/>
      <c r="J2315" s="18"/>
      <c r="K2315" s="18"/>
      <c r="L2315" s="18"/>
      <c r="M2315" s="18"/>
      <c r="N2315" s="18"/>
      <c r="O2315" s="18"/>
      <c r="P2315" s="18"/>
      <c r="Q2315" s="18"/>
    </row>
    <row r="2316" spans="6:17">
      <c r="F2316" s="18"/>
      <c r="G2316" s="18"/>
      <c r="H2316" s="18"/>
      <c r="I2316" s="18"/>
      <c r="J2316" s="18"/>
      <c r="K2316" s="18"/>
      <c r="L2316" s="18"/>
      <c r="M2316" s="18"/>
      <c r="N2316" s="18"/>
      <c r="O2316" s="18"/>
      <c r="P2316" s="18"/>
      <c r="Q2316" s="18"/>
    </row>
    <row r="2317" spans="6:17">
      <c r="F2317" s="18"/>
      <c r="G2317" s="18"/>
      <c r="H2317" s="18"/>
      <c r="I2317" s="18"/>
      <c r="J2317" s="18"/>
      <c r="K2317" s="18"/>
      <c r="L2317" s="18"/>
      <c r="M2317" s="18"/>
      <c r="N2317" s="18"/>
      <c r="O2317" s="18"/>
      <c r="P2317" s="18"/>
      <c r="Q2317" s="18"/>
    </row>
    <row r="2318" spans="6:17">
      <c r="F2318" s="18"/>
      <c r="G2318" s="18"/>
      <c r="H2318" s="18"/>
      <c r="I2318" s="18"/>
      <c r="J2318" s="18"/>
      <c r="K2318" s="18"/>
      <c r="L2318" s="18"/>
      <c r="M2318" s="18"/>
      <c r="N2318" s="18"/>
      <c r="O2318" s="18"/>
      <c r="P2318" s="18"/>
      <c r="Q2318" s="18"/>
    </row>
    <row r="2319" spans="6:17">
      <c r="F2319" s="18"/>
      <c r="G2319" s="18"/>
      <c r="H2319" s="18"/>
      <c r="I2319" s="18"/>
      <c r="J2319" s="18"/>
      <c r="K2319" s="18"/>
      <c r="L2319" s="18"/>
      <c r="M2319" s="18"/>
      <c r="N2319" s="18"/>
      <c r="O2319" s="18"/>
      <c r="P2319" s="18"/>
      <c r="Q2319" s="18"/>
    </row>
    <row r="2320" spans="6:17">
      <c r="F2320" s="18"/>
      <c r="G2320" s="18"/>
      <c r="H2320" s="18"/>
      <c r="I2320" s="18"/>
      <c r="J2320" s="18"/>
      <c r="K2320" s="18"/>
      <c r="L2320" s="18"/>
      <c r="M2320" s="18"/>
      <c r="N2320" s="18"/>
      <c r="O2320" s="18"/>
      <c r="P2320" s="18"/>
      <c r="Q2320" s="18"/>
    </row>
    <row r="2321" spans="6:17">
      <c r="F2321" s="18"/>
      <c r="G2321" s="18"/>
      <c r="H2321" s="18"/>
      <c r="I2321" s="18"/>
      <c r="J2321" s="18"/>
      <c r="K2321" s="18"/>
      <c r="L2321" s="18"/>
      <c r="M2321" s="18"/>
      <c r="N2321" s="18"/>
      <c r="O2321" s="18"/>
      <c r="P2321" s="18"/>
      <c r="Q2321" s="18"/>
    </row>
    <row r="2322" spans="6:17">
      <c r="F2322" s="18"/>
      <c r="G2322" s="18"/>
      <c r="H2322" s="18"/>
      <c r="I2322" s="18"/>
      <c r="J2322" s="18"/>
      <c r="K2322" s="18"/>
      <c r="L2322" s="18"/>
      <c r="M2322" s="18"/>
      <c r="N2322" s="18"/>
      <c r="O2322" s="18"/>
      <c r="P2322" s="18"/>
      <c r="Q2322" s="18"/>
    </row>
    <row r="2323" spans="6:17">
      <c r="F2323" s="18"/>
      <c r="G2323" s="18"/>
      <c r="H2323" s="18"/>
      <c r="I2323" s="18"/>
      <c r="J2323" s="18"/>
      <c r="K2323" s="18"/>
      <c r="L2323" s="18"/>
      <c r="M2323" s="18"/>
      <c r="N2323" s="18"/>
      <c r="O2323" s="18"/>
      <c r="P2323" s="18"/>
      <c r="Q2323" s="18"/>
    </row>
    <row r="2324" spans="6:17">
      <c r="F2324" s="18"/>
      <c r="G2324" s="18"/>
      <c r="H2324" s="18"/>
      <c r="I2324" s="18"/>
      <c r="J2324" s="18"/>
      <c r="K2324" s="18"/>
      <c r="L2324" s="18"/>
      <c r="M2324" s="18"/>
      <c r="N2324" s="18"/>
      <c r="O2324" s="18"/>
      <c r="P2324" s="18"/>
      <c r="Q2324" s="18"/>
    </row>
    <row r="2325" spans="6:17">
      <c r="F2325" s="18"/>
      <c r="G2325" s="18"/>
      <c r="H2325" s="18"/>
      <c r="I2325" s="18"/>
      <c r="J2325" s="18"/>
      <c r="K2325" s="18"/>
      <c r="L2325" s="18"/>
      <c r="M2325" s="18"/>
      <c r="N2325" s="18"/>
      <c r="O2325" s="18"/>
      <c r="P2325" s="18"/>
      <c r="Q2325" s="18"/>
    </row>
    <row r="2326" spans="6:17">
      <c r="F2326" s="18"/>
      <c r="G2326" s="18"/>
      <c r="H2326" s="18"/>
      <c r="I2326" s="18"/>
      <c r="J2326" s="18"/>
      <c r="K2326" s="18"/>
      <c r="L2326" s="18"/>
      <c r="M2326" s="18"/>
      <c r="N2326" s="18"/>
      <c r="O2326" s="18"/>
      <c r="P2326" s="18"/>
      <c r="Q2326" s="18"/>
    </row>
    <row r="2327" spans="6:17">
      <c r="F2327" s="18"/>
      <c r="G2327" s="18"/>
      <c r="H2327" s="18"/>
      <c r="I2327" s="18"/>
      <c r="J2327" s="18"/>
      <c r="K2327" s="18"/>
      <c r="L2327" s="18"/>
      <c r="M2327" s="18"/>
      <c r="N2327" s="18"/>
      <c r="O2327" s="18"/>
      <c r="P2327" s="18"/>
      <c r="Q2327" s="18"/>
    </row>
    <row r="2328" spans="6:17">
      <c r="F2328" s="18"/>
      <c r="G2328" s="18"/>
      <c r="H2328" s="18"/>
      <c r="I2328" s="18"/>
      <c r="J2328" s="18"/>
      <c r="K2328" s="18"/>
      <c r="L2328" s="18"/>
      <c r="M2328" s="18"/>
      <c r="N2328" s="18"/>
      <c r="O2328" s="18"/>
      <c r="P2328" s="18"/>
      <c r="Q2328" s="18"/>
    </row>
    <row r="2329" spans="6:17">
      <c r="F2329" s="18"/>
      <c r="G2329" s="18"/>
      <c r="H2329" s="18"/>
      <c r="I2329" s="18"/>
      <c r="J2329" s="18"/>
      <c r="K2329" s="18"/>
      <c r="L2329" s="18"/>
      <c r="M2329" s="18"/>
      <c r="N2329" s="18"/>
      <c r="O2329" s="18"/>
      <c r="P2329" s="18"/>
      <c r="Q2329" s="18"/>
    </row>
    <row r="2330" spans="6:17">
      <c r="F2330" s="18"/>
      <c r="G2330" s="18"/>
      <c r="H2330" s="18"/>
      <c r="I2330" s="18"/>
      <c r="J2330" s="18"/>
      <c r="K2330" s="18"/>
      <c r="L2330" s="18"/>
      <c r="M2330" s="18"/>
      <c r="N2330" s="18"/>
      <c r="O2330" s="18"/>
      <c r="P2330" s="18"/>
      <c r="Q2330" s="18"/>
    </row>
    <row r="2331" spans="6:17">
      <c r="F2331" s="18"/>
      <c r="G2331" s="18"/>
      <c r="H2331" s="18"/>
      <c r="I2331" s="18"/>
      <c r="J2331" s="18"/>
      <c r="K2331" s="18"/>
      <c r="L2331" s="18"/>
      <c r="M2331" s="18"/>
      <c r="N2331" s="18"/>
      <c r="O2331" s="18"/>
      <c r="P2331" s="18"/>
      <c r="Q2331" s="18"/>
    </row>
    <row r="2332" spans="6:17">
      <c r="F2332" s="18"/>
      <c r="G2332" s="18"/>
      <c r="H2332" s="18"/>
      <c r="I2332" s="18"/>
      <c r="J2332" s="18"/>
      <c r="K2332" s="18"/>
      <c r="L2332" s="18"/>
      <c r="M2332" s="18"/>
      <c r="N2332" s="18"/>
      <c r="O2332" s="18"/>
      <c r="P2332" s="18"/>
      <c r="Q2332" s="18"/>
    </row>
    <row r="2333" spans="6:17">
      <c r="F2333" s="18"/>
      <c r="G2333" s="18"/>
      <c r="H2333" s="18"/>
      <c r="I2333" s="18"/>
      <c r="J2333" s="18"/>
      <c r="K2333" s="18"/>
      <c r="L2333" s="18"/>
      <c r="M2333" s="18"/>
      <c r="N2333" s="18"/>
      <c r="O2333" s="18"/>
      <c r="P2333" s="18"/>
      <c r="Q2333" s="18"/>
    </row>
    <row r="2334" spans="6:17">
      <c r="F2334" s="18"/>
      <c r="G2334" s="18"/>
      <c r="H2334" s="18"/>
      <c r="I2334" s="18"/>
      <c r="J2334" s="18"/>
      <c r="K2334" s="18"/>
      <c r="L2334" s="18"/>
      <c r="M2334" s="18"/>
      <c r="N2334" s="18"/>
      <c r="O2334" s="18"/>
      <c r="P2334" s="18"/>
      <c r="Q2334" s="18"/>
    </row>
    <row r="2335" spans="6:17">
      <c r="F2335" s="18"/>
      <c r="G2335" s="18"/>
      <c r="H2335" s="18"/>
      <c r="I2335" s="18"/>
      <c r="J2335" s="18"/>
      <c r="K2335" s="18"/>
      <c r="L2335" s="18"/>
      <c r="M2335" s="18"/>
      <c r="N2335" s="18"/>
      <c r="O2335" s="18"/>
      <c r="P2335" s="18"/>
      <c r="Q2335" s="18"/>
    </row>
    <row r="2336" spans="6:17">
      <c r="F2336" s="18"/>
      <c r="G2336" s="18"/>
      <c r="H2336" s="18"/>
      <c r="I2336" s="18"/>
      <c r="J2336" s="18"/>
      <c r="K2336" s="18"/>
      <c r="L2336" s="18"/>
      <c r="M2336" s="18"/>
      <c r="N2336" s="18"/>
      <c r="O2336" s="18"/>
      <c r="P2336" s="18"/>
      <c r="Q2336" s="18"/>
    </row>
    <row r="2337" spans="6:17">
      <c r="F2337" s="18"/>
      <c r="G2337" s="18"/>
      <c r="H2337" s="18"/>
      <c r="I2337" s="18"/>
      <c r="J2337" s="18"/>
      <c r="K2337" s="18"/>
      <c r="L2337" s="18"/>
      <c r="M2337" s="18"/>
      <c r="N2337" s="18"/>
      <c r="O2337" s="18"/>
      <c r="P2337" s="18"/>
      <c r="Q2337" s="18"/>
    </row>
    <row r="2338" spans="6:17">
      <c r="F2338" s="18"/>
      <c r="G2338" s="18"/>
      <c r="H2338" s="18"/>
      <c r="I2338" s="18"/>
      <c r="J2338" s="18"/>
      <c r="K2338" s="18"/>
      <c r="L2338" s="18"/>
      <c r="M2338" s="18"/>
      <c r="N2338" s="18"/>
      <c r="O2338" s="18"/>
      <c r="P2338" s="18"/>
      <c r="Q2338" s="18"/>
    </row>
    <row r="2339" spans="6:17">
      <c r="F2339" s="18"/>
      <c r="G2339" s="18"/>
      <c r="H2339" s="18"/>
      <c r="I2339" s="18"/>
      <c r="J2339" s="18"/>
      <c r="K2339" s="18"/>
      <c r="L2339" s="18"/>
      <c r="M2339" s="18"/>
      <c r="N2339" s="18"/>
      <c r="O2339" s="18"/>
      <c r="P2339" s="18"/>
      <c r="Q2339" s="18"/>
    </row>
    <row r="2340" spans="6:17">
      <c r="F2340" s="18"/>
      <c r="G2340" s="18"/>
      <c r="H2340" s="18"/>
      <c r="I2340" s="18"/>
      <c r="J2340" s="18"/>
      <c r="K2340" s="18"/>
      <c r="L2340" s="18"/>
      <c r="M2340" s="18"/>
      <c r="N2340" s="18"/>
      <c r="O2340" s="18"/>
      <c r="P2340" s="18"/>
      <c r="Q2340" s="18"/>
    </row>
    <row r="2341" spans="6:17">
      <c r="F2341" s="18"/>
      <c r="G2341" s="18"/>
      <c r="H2341" s="18"/>
      <c r="I2341" s="18"/>
      <c r="J2341" s="18"/>
      <c r="K2341" s="18"/>
      <c r="L2341" s="18"/>
      <c r="M2341" s="18"/>
      <c r="N2341" s="18"/>
      <c r="O2341" s="18"/>
      <c r="P2341" s="18"/>
      <c r="Q2341" s="18"/>
    </row>
    <row r="2342" spans="6:17">
      <c r="F2342" s="18"/>
      <c r="G2342" s="18"/>
      <c r="H2342" s="18"/>
      <c r="I2342" s="18"/>
      <c r="J2342" s="18"/>
      <c r="K2342" s="18"/>
      <c r="L2342" s="18"/>
      <c r="M2342" s="18"/>
      <c r="N2342" s="18"/>
      <c r="O2342" s="18"/>
      <c r="P2342" s="18"/>
      <c r="Q2342" s="18"/>
    </row>
    <row r="2343" spans="6:17">
      <c r="F2343" s="18"/>
      <c r="G2343" s="18"/>
      <c r="H2343" s="18"/>
      <c r="I2343" s="18"/>
      <c r="J2343" s="18"/>
      <c r="K2343" s="18"/>
      <c r="L2343" s="18"/>
      <c r="M2343" s="18"/>
      <c r="N2343" s="18"/>
      <c r="O2343" s="18"/>
      <c r="P2343" s="18"/>
      <c r="Q2343" s="18"/>
    </row>
    <row r="2344" spans="6:17">
      <c r="F2344" s="18"/>
      <c r="G2344" s="18"/>
      <c r="H2344" s="18"/>
      <c r="I2344" s="18"/>
      <c r="J2344" s="18"/>
      <c r="K2344" s="18"/>
      <c r="L2344" s="18"/>
      <c r="M2344" s="18"/>
      <c r="N2344" s="18"/>
      <c r="O2344" s="18"/>
      <c r="P2344" s="18"/>
      <c r="Q2344" s="18"/>
    </row>
    <row r="2345" spans="6:17">
      <c r="F2345" s="18"/>
      <c r="G2345" s="18"/>
      <c r="H2345" s="18"/>
      <c r="I2345" s="18"/>
      <c r="J2345" s="18"/>
      <c r="K2345" s="18"/>
      <c r="L2345" s="18"/>
      <c r="M2345" s="18"/>
      <c r="N2345" s="18"/>
      <c r="O2345" s="18"/>
      <c r="P2345" s="18"/>
      <c r="Q2345" s="18"/>
    </row>
    <row r="2346" spans="6:17">
      <c r="F2346" s="18"/>
      <c r="G2346" s="18"/>
      <c r="H2346" s="18"/>
      <c r="I2346" s="18"/>
      <c r="J2346" s="18"/>
      <c r="K2346" s="18"/>
      <c r="L2346" s="18"/>
      <c r="M2346" s="18"/>
      <c r="N2346" s="18"/>
      <c r="O2346" s="18"/>
      <c r="P2346" s="18"/>
      <c r="Q2346" s="18"/>
    </row>
    <row r="2347" spans="6:17">
      <c r="F2347" s="18"/>
      <c r="G2347" s="18"/>
      <c r="H2347" s="18"/>
      <c r="I2347" s="18"/>
      <c r="J2347" s="18"/>
      <c r="K2347" s="18"/>
      <c r="L2347" s="18"/>
      <c r="M2347" s="18"/>
      <c r="N2347" s="18"/>
      <c r="O2347" s="18"/>
      <c r="P2347" s="18"/>
      <c r="Q2347" s="18"/>
    </row>
    <row r="2348" spans="6:17">
      <c r="F2348" s="18"/>
      <c r="G2348" s="18"/>
      <c r="H2348" s="18"/>
      <c r="I2348" s="18"/>
      <c r="J2348" s="18"/>
      <c r="K2348" s="18"/>
      <c r="L2348" s="18"/>
      <c r="M2348" s="18"/>
      <c r="N2348" s="18"/>
      <c r="O2348" s="18"/>
      <c r="P2348" s="18"/>
      <c r="Q2348" s="18"/>
    </row>
    <row r="2349" spans="6:17">
      <c r="F2349" s="18"/>
      <c r="G2349" s="18"/>
      <c r="H2349" s="18"/>
      <c r="I2349" s="18"/>
      <c r="J2349" s="18"/>
      <c r="K2349" s="18"/>
      <c r="L2349" s="18"/>
      <c r="M2349" s="18"/>
      <c r="N2349" s="18"/>
      <c r="O2349" s="18"/>
      <c r="P2349" s="18"/>
      <c r="Q2349" s="18"/>
    </row>
    <row r="2350" spans="6:17">
      <c r="F2350" s="18"/>
      <c r="G2350" s="18"/>
      <c r="H2350" s="18"/>
      <c r="I2350" s="18"/>
      <c r="J2350" s="18"/>
      <c r="K2350" s="18"/>
      <c r="L2350" s="18"/>
      <c r="M2350" s="18"/>
      <c r="N2350" s="18"/>
      <c r="O2350" s="18"/>
      <c r="P2350" s="18"/>
      <c r="Q2350" s="18"/>
    </row>
    <row r="2351" spans="6:17">
      <c r="F2351" s="18"/>
      <c r="G2351" s="18"/>
      <c r="H2351" s="18"/>
      <c r="I2351" s="18"/>
      <c r="J2351" s="18"/>
      <c r="K2351" s="18"/>
      <c r="L2351" s="18"/>
      <c r="M2351" s="18"/>
      <c r="N2351" s="18"/>
      <c r="O2351" s="18"/>
      <c r="P2351" s="18"/>
      <c r="Q2351" s="18"/>
    </row>
    <row r="2352" spans="6:17">
      <c r="F2352" s="18"/>
      <c r="G2352" s="18"/>
      <c r="H2352" s="18"/>
      <c r="I2352" s="18"/>
      <c r="J2352" s="18"/>
      <c r="K2352" s="18"/>
      <c r="L2352" s="18"/>
      <c r="M2352" s="18"/>
      <c r="N2352" s="18"/>
      <c r="O2352" s="18"/>
      <c r="P2352" s="18"/>
      <c r="Q2352" s="18"/>
    </row>
    <row r="2353" spans="6:17">
      <c r="F2353" s="18"/>
      <c r="G2353" s="18"/>
      <c r="H2353" s="18"/>
      <c r="I2353" s="18"/>
      <c r="J2353" s="18"/>
      <c r="K2353" s="18"/>
      <c r="L2353" s="18"/>
      <c r="M2353" s="18"/>
      <c r="N2353" s="18"/>
      <c r="O2353" s="18"/>
      <c r="P2353" s="18"/>
      <c r="Q2353" s="18"/>
    </row>
    <row r="2354" spans="6:17">
      <c r="F2354" s="18"/>
      <c r="G2354" s="18"/>
      <c r="H2354" s="18"/>
      <c r="I2354" s="18"/>
      <c r="J2354" s="18"/>
      <c r="K2354" s="18"/>
      <c r="L2354" s="18"/>
      <c r="M2354" s="18"/>
      <c r="N2354" s="18"/>
      <c r="O2354" s="18"/>
      <c r="P2354" s="18"/>
      <c r="Q2354" s="18"/>
    </row>
    <row r="2355" spans="6:17">
      <c r="F2355" s="18"/>
      <c r="G2355" s="18"/>
      <c r="H2355" s="18"/>
      <c r="I2355" s="18"/>
      <c r="J2355" s="18"/>
      <c r="K2355" s="18"/>
      <c r="L2355" s="18"/>
      <c r="M2355" s="18"/>
      <c r="N2355" s="18"/>
      <c r="O2355" s="18"/>
      <c r="P2355" s="18"/>
      <c r="Q2355" s="18"/>
    </row>
    <row r="2356" spans="6:17">
      <c r="F2356" s="18"/>
      <c r="G2356" s="18"/>
      <c r="H2356" s="18"/>
      <c r="I2356" s="18"/>
      <c r="J2356" s="18"/>
      <c r="K2356" s="18"/>
      <c r="L2356" s="18"/>
      <c r="M2356" s="18"/>
      <c r="N2356" s="18"/>
      <c r="O2356" s="18"/>
      <c r="P2356" s="18"/>
      <c r="Q2356" s="18"/>
    </row>
    <row r="2357" spans="6:17">
      <c r="F2357" s="18"/>
      <c r="G2357" s="18"/>
      <c r="H2357" s="18"/>
      <c r="I2357" s="18"/>
      <c r="J2357" s="18"/>
      <c r="K2357" s="18"/>
      <c r="L2357" s="18"/>
      <c r="M2357" s="18"/>
      <c r="N2357" s="18"/>
      <c r="O2357" s="18"/>
      <c r="P2357" s="18"/>
      <c r="Q2357" s="18"/>
    </row>
    <row r="2358" spans="6:17">
      <c r="F2358" s="18"/>
      <c r="G2358" s="18"/>
      <c r="H2358" s="18"/>
      <c r="I2358" s="18"/>
      <c r="J2358" s="18"/>
      <c r="K2358" s="18"/>
      <c r="L2358" s="18"/>
      <c r="M2358" s="18"/>
      <c r="N2358" s="18"/>
      <c r="O2358" s="18"/>
      <c r="P2358" s="18"/>
      <c r="Q2358" s="18"/>
    </row>
    <row r="2359" spans="6:17">
      <c r="F2359" s="18"/>
      <c r="G2359" s="18"/>
      <c r="H2359" s="18"/>
      <c r="I2359" s="18"/>
      <c r="J2359" s="18"/>
      <c r="K2359" s="18"/>
      <c r="L2359" s="18"/>
      <c r="M2359" s="18"/>
      <c r="N2359" s="18"/>
      <c r="O2359" s="18"/>
      <c r="P2359" s="18"/>
      <c r="Q2359" s="18"/>
    </row>
    <row r="2360" spans="6:17">
      <c r="F2360" s="18"/>
      <c r="G2360" s="18"/>
      <c r="H2360" s="18"/>
      <c r="I2360" s="18"/>
      <c r="J2360" s="18"/>
      <c r="K2360" s="18"/>
      <c r="L2360" s="18"/>
      <c r="M2360" s="18"/>
      <c r="N2360" s="18"/>
      <c r="O2360" s="18"/>
      <c r="P2360" s="18"/>
      <c r="Q2360" s="18"/>
    </row>
    <row r="2361" spans="6:17">
      <c r="F2361" s="18"/>
      <c r="G2361" s="18"/>
      <c r="H2361" s="18"/>
      <c r="I2361" s="18"/>
      <c r="J2361" s="18"/>
      <c r="K2361" s="18"/>
      <c r="L2361" s="18"/>
      <c r="M2361" s="18"/>
      <c r="N2361" s="18"/>
      <c r="O2361" s="18"/>
      <c r="P2361" s="18"/>
      <c r="Q2361" s="18"/>
    </row>
    <row r="2362" spans="6:17">
      <c r="F2362" s="18"/>
      <c r="G2362" s="18"/>
      <c r="H2362" s="18"/>
      <c r="I2362" s="18"/>
      <c r="J2362" s="18"/>
      <c r="K2362" s="18"/>
      <c r="L2362" s="18"/>
      <c r="M2362" s="18"/>
      <c r="N2362" s="18"/>
      <c r="O2362" s="18"/>
      <c r="P2362" s="18"/>
      <c r="Q2362" s="18"/>
    </row>
    <row r="2363" spans="6:17">
      <c r="F2363" s="18"/>
      <c r="G2363" s="18"/>
      <c r="H2363" s="18"/>
      <c r="I2363" s="18"/>
      <c r="J2363" s="18"/>
      <c r="K2363" s="18"/>
      <c r="L2363" s="18"/>
      <c r="M2363" s="18"/>
      <c r="N2363" s="18"/>
      <c r="O2363" s="18"/>
      <c r="P2363" s="18"/>
      <c r="Q2363" s="18"/>
    </row>
    <row r="2364" spans="6:17">
      <c r="F2364" s="18"/>
      <c r="G2364" s="18"/>
      <c r="H2364" s="18"/>
      <c r="I2364" s="18"/>
      <c r="J2364" s="18"/>
      <c r="K2364" s="18"/>
      <c r="L2364" s="18"/>
      <c r="M2364" s="18"/>
      <c r="N2364" s="18"/>
      <c r="O2364" s="18"/>
      <c r="P2364" s="18"/>
      <c r="Q2364" s="18"/>
    </row>
    <row r="2365" spans="6:17">
      <c r="F2365" s="18"/>
      <c r="G2365" s="18"/>
      <c r="H2365" s="18"/>
      <c r="I2365" s="18"/>
      <c r="J2365" s="18"/>
      <c r="K2365" s="18"/>
      <c r="L2365" s="18"/>
      <c r="M2365" s="18"/>
      <c r="N2365" s="18"/>
      <c r="O2365" s="18"/>
      <c r="P2365" s="18"/>
      <c r="Q2365" s="18"/>
    </row>
    <row r="2366" spans="6:17">
      <c r="F2366" s="18"/>
      <c r="G2366" s="18"/>
      <c r="H2366" s="18"/>
      <c r="I2366" s="18"/>
      <c r="J2366" s="18"/>
      <c r="K2366" s="18"/>
      <c r="L2366" s="18"/>
      <c r="M2366" s="18"/>
      <c r="N2366" s="18"/>
      <c r="O2366" s="18"/>
      <c r="P2366" s="18"/>
      <c r="Q2366" s="18"/>
    </row>
    <row r="2367" spans="6:17">
      <c r="F2367" s="18"/>
      <c r="G2367" s="18"/>
      <c r="H2367" s="18"/>
      <c r="I2367" s="18"/>
      <c r="J2367" s="18"/>
      <c r="K2367" s="18"/>
      <c r="L2367" s="18"/>
      <c r="M2367" s="18"/>
      <c r="N2367" s="18"/>
      <c r="O2367" s="18"/>
      <c r="P2367" s="18"/>
      <c r="Q2367" s="18"/>
    </row>
    <row r="2368" spans="6:17">
      <c r="F2368" s="18"/>
      <c r="G2368" s="18"/>
      <c r="H2368" s="18"/>
      <c r="I2368" s="18"/>
      <c r="J2368" s="18"/>
      <c r="K2368" s="18"/>
      <c r="L2368" s="18"/>
      <c r="M2368" s="18"/>
      <c r="N2368" s="18"/>
      <c r="O2368" s="18"/>
      <c r="P2368" s="18"/>
      <c r="Q2368" s="18"/>
    </row>
    <row r="2369" spans="6:17">
      <c r="F2369" s="18"/>
      <c r="G2369" s="18"/>
      <c r="H2369" s="18"/>
      <c r="I2369" s="18"/>
      <c r="J2369" s="18"/>
      <c r="K2369" s="18"/>
      <c r="L2369" s="18"/>
      <c r="M2369" s="18"/>
      <c r="N2369" s="18"/>
      <c r="O2369" s="18"/>
      <c r="P2369" s="18"/>
      <c r="Q2369" s="18"/>
    </row>
    <row r="2370" spans="6:17">
      <c r="F2370" s="18"/>
      <c r="G2370" s="18"/>
      <c r="H2370" s="18"/>
      <c r="I2370" s="18"/>
      <c r="J2370" s="18"/>
      <c r="K2370" s="18"/>
      <c r="L2370" s="18"/>
      <c r="M2370" s="18"/>
      <c r="N2370" s="18"/>
      <c r="O2370" s="18"/>
      <c r="P2370" s="18"/>
      <c r="Q2370" s="18"/>
    </row>
    <row r="2371" spans="6:17">
      <c r="F2371" s="18"/>
      <c r="G2371" s="18"/>
      <c r="H2371" s="18"/>
      <c r="I2371" s="18"/>
      <c r="J2371" s="18"/>
      <c r="K2371" s="18"/>
      <c r="L2371" s="18"/>
      <c r="M2371" s="18"/>
      <c r="N2371" s="18"/>
      <c r="O2371" s="18"/>
      <c r="P2371" s="18"/>
      <c r="Q2371" s="18"/>
    </row>
    <row r="2372" spans="6:17">
      <c r="F2372" s="18"/>
      <c r="G2372" s="18"/>
      <c r="H2372" s="18"/>
      <c r="I2372" s="18"/>
      <c r="J2372" s="18"/>
      <c r="K2372" s="18"/>
      <c r="L2372" s="18"/>
      <c r="M2372" s="18"/>
      <c r="N2372" s="18"/>
      <c r="O2372" s="18"/>
      <c r="P2372" s="18"/>
      <c r="Q2372" s="18"/>
    </row>
    <row r="2373" spans="6:17">
      <c r="F2373" s="18"/>
      <c r="G2373" s="18"/>
      <c r="H2373" s="18"/>
      <c r="I2373" s="18"/>
      <c r="J2373" s="18"/>
      <c r="K2373" s="18"/>
      <c r="L2373" s="18"/>
      <c r="M2373" s="18"/>
      <c r="N2373" s="18"/>
      <c r="O2373" s="18"/>
      <c r="P2373" s="18"/>
      <c r="Q2373" s="18"/>
    </row>
    <row r="2374" spans="6:17">
      <c r="F2374" s="18"/>
      <c r="G2374" s="18"/>
      <c r="H2374" s="18"/>
      <c r="I2374" s="18"/>
      <c r="J2374" s="18"/>
      <c r="K2374" s="18"/>
      <c r="L2374" s="18"/>
      <c r="M2374" s="18"/>
      <c r="N2374" s="18"/>
      <c r="O2374" s="18"/>
      <c r="P2374" s="18"/>
      <c r="Q2374" s="18"/>
    </row>
    <row r="2375" spans="6:17">
      <c r="F2375" s="18"/>
      <c r="G2375" s="18"/>
      <c r="H2375" s="18"/>
      <c r="I2375" s="18"/>
      <c r="J2375" s="18"/>
      <c r="K2375" s="18"/>
      <c r="L2375" s="18"/>
      <c r="M2375" s="18"/>
      <c r="N2375" s="18"/>
      <c r="O2375" s="18"/>
      <c r="P2375" s="18"/>
      <c r="Q2375" s="18"/>
    </row>
    <row r="2376" spans="6:17">
      <c r="F2376" s="18"/>
      <c r="G2376" s="18"/>
      <c r="H2376" s="18"/>
      <c r="I2376" s="18"/>
      <c r="J2376" s="18"/>
      <c r="K2376" s="18"/>
      <c r="L2376" s="18"/>
      <c r="M2376" s="18"/>
      <c r="N2376" s="18"/>
      <c r="O2376" s="18"/>
      <c r="P2376" s="18"/>
      <c r="Q2376" s="18"/>
    </row>
    <row r="2377" spans="6:17">
      <c r="F2377" s="18"/>
      <c r="G2377" s="18"/>
      <c r="H2377" s="18"/>
      <c r="I2377" s="18"/>
      <c r="J2377" s="18"/>
      <c r="K2377" s="18"/>
      <c r="L2377" s="18"/>
      <c r="M2377" s="18"/>
      <c r="N2377" s="18"/>
      <c r="O2377" s="18"/>
      <c r="P2377" s="18"/>
      <c r="Q2377" s="18"/>
    </row>
    <row r="2378" spans="6:17">
      <c r="F2378" s="18"/>
      <c r="G2378" s="18"/>
      <c r="H2378" s="18"/>
      <c r="I2378" s="18"/>
      <c r="J2378" s="18"/>
      <c r="K2378" s="18"/>
      <c r="L2378" s="18"/>
      <c r="M2378" s="18"/>
      <c r="N2378" s="18"/>
      <c r="O2378" s="18"/>
      <c r="P2378" s="18"/>
      <c r="Q2378" s="18"/>
    </row>
    <row r="2379" spans="6:17">
      <c r="F2379" s="18"/>
      <c r="G2379" s="18"/>
      <c r="H2379" s="18"/>
      <c r="I2379" s="18"/>
      <c r="J2379" s="18"/>
      <c r="K2379" s="18"/>
      <c r="L2379" s="18"/>
      <c r="M2379" s="18"/>
      <c r="N2379" s="18"/>
      <c r="O2379" s="18"/>
      <c r="P2379" s="18"/>
      <c r="Q2379" s="18"/>
    </row>
    <row r="2380" spans="6:17">
      <c r="F2380" s="18"/>
      <c r="G2380" s="18"/>
      <c r="H2380" s="18"/>
      <c r="I2380" s="18"/>
      <c r="J2380" s="18"/>
      <c r="K2380" s="18"/>
      <c r="L2380" s="18"/>
      <c r="M2380" s="18"/>
      <c r="N2380" s="18"/>
      <c r="O2380" s="18"/>
      <c r="P2380" s="18"/>
      <c r="Q2380" s="18"/>
    </row>
    <row r="2381" spans="6:17">
      <c r="F2381" s="18"/>
      <c r="G2381" s="18"/>
      <c r="H2381" s="18"/>
      <c r="I2381" s="18"/>
      <c r="J2381" s="18"/>
      <c r="K2381" s="18"/>
      <c r="L2381" s="18"/>
      <c r="M2381" s="18"/>
      <c r="N2381" s="18"/>
      <c r="O2381" s="18"/>
      <c r="P2381" s="18"/>
      <c r="Q2381" s="18"/>
    </row>
    <row r="2382" spans="6:17">
      <c r="F2382" s="18"/>
      <c r="G2382" s="18"/>
      <c r="H2382" s="18"/>
      <c r="I2382" s="18"/>
      <c r="J2382" s="18"/>
      <c r="K2382" s="18"/>
      <c r="L2382" s="18"/>
      <c r="M2382" s="18"/>
      <c r="N2382" s="18"/>
      <c r="O2382" s="18"/>
      <c r="P2382" s="18"/>
      <c r="Q2382" s="18"/>
    </row>
    <row r="2383" spans="6:17">
      <c r="F2383" s="18"/>
      <c r="G2383" s="18"/>
      <c r="H2383" s="18"/>
      <c r="I2383" s="18"/>
      <c r="J2383" s="18"/>
      <c r="K2383" s="18"/>
      <c r="L2383" s="18"/>
      <c r="M2383" s="18"/>
      <c r="N2383" s="18"/>
      <c r="O2383" s="18"/>
      <c r="P2383" s="18"/>
      <c r="Q2383" s="18"/>
    </row>
    <row r="2384" spans="6:17">
      <c r="F2384" s="18"/>
      <c r="G2384" s="18"/>
      <c r="H2384" s="18"/>
      <c r="I2384" s="18"/>
      <c r="J2384" s="18"/>
      <c r="K2384" s="18"/>
      <c r="L2384" s="18"/>
      <c r="M2384" s="18"/>
      <c r="N2384" s="18"/>
      <c r="O2384" s="18"/>
      <c r="P2384" s="18"/>
      <c r="Q2384" s="18"/>
    </row>
    <row r="2385" spans="6:17">
      <c r="F2385" s="18"/>
      <c r="G2385" s="18"/>
      <c r="H2385" s="18"/>
      <c r="I2385" s="18"/>
      <c r="J2385" s="18"/>
      <c r="K2385" s="18"/>
      <c r="L2385" s="18"/>
      <c r="M2385" s="18"/>
      <c r="N2385" s="18"/>
      <c r="O2385" s="18"/>
      <c r="P2385" s="18"/>
      <c r="Q2385" s="18"/>
    </row>
    <row r="2386" spans="6:17">
      <c r="F2386" s="18"/>
      <c r="G2386" s="18"/>
      <c r="H2386" s="18"/>
      <c r="I2386" s="18"/>
      <c r="J2386" s="18"/>
      <c r="K2386" s="18"/>
      <c r="L2386" s="18"/>
      <c r="M2386" s="18"/>
      <c r="N2386" s="18"/>
      <c r="O2386" s="18"/>
      <c r="P2386" s="18"/>
      <c r="Q2386" s="18"/>
    </row>
    <row r="2387" spans="6:17">
      <c r="F2387" s="18"/>
      <c r="G2387" s="18"/>
      <c r="H2387" s="18"/>
      <c r="I2387" s="18"/>
      <c r="J2387" s="18"/>
      <c r="K2387" s="18"/>
      <c r="L2387" s="18"/>
      <c r="M2387" s="18"/>
      <c r="N2387" s="18"/>
      <c r="O2387" s="18"/>
      <c r="P2387" s="18"/>
      <c r="Q2387" s="18"/>
    </row>
    <row r="2388" spans="6:17">
      <c r="F2388" s="18"/>
      <c r="G2388" s="18"/>
      <c r="H2388" s="18"/>
      <c r="I2388" s="18"/>
      <c r="J2388" s="18"/>
      <c r="K2388" s="18"/>
      <c r="L2388" s="18"/>
      <c r="M2388" s="18"/>
      <c r="N2388" s="18"/>
      <c r="O2388" s="18"/>
      <c r="P2388" s="18"/>
      <c r="Q2388" s="18"/>
    </row>
    <row r="2389" spans="6:17">
      <c r="F2389" s="18"/>
      <c r="G2389" s="18"/>
      <c r="H2389" s="18"/>
      <c r="I2389" s="18"/>
      <c r="J2389" s="18"/>
      <c r="K2389" s="18"/>
      <c r="L2389" s="18"/>
      <c r="M2389" s="18"/>
      <c r="N2389" s="18"/>
      <c r="O2389" s="18"/>
      <c r="P2389" s="18"/>
      <c r="Q2389" s="18"/>
    </row>
    <row r="2390" spans="6:17">
      <c r="F2390" s="18"/>
      <c r="G2390" s="18"/>
      <c r="H2390" s="18"/>
      <c r="I2390" s="18"/>
      <c r="J2390" s="18"/>
      <c r="K2390" s="18"/>
      <c r="L2390" s="18"/>
      <c r="M2390" s="18"/>
      <c r="N2390" s="18"/>
      <c r="O2390" s="18"/>
      <c r="P2390" s="18"/>
      <c r="Q2390" s="18"/>
    </row>
    <row r="2391" spans="6:17">
      <c r="F2391" s="18"/>
      <c r="G2391" s="18"/>
      <c r="H2391" s="18"/>
      <c r="I2391" s="18"/>
      <c r="J2391" s="18"/>
      <c r="K2391" s="18"/>
      <c r="L2391" s="18"/>
      <c r="M2391" s="18"/>
      <c r="N2391" s="18"/>
      <c r="O2391" s="18"/>
      <c r="P2391" s="18"/>
      <c r="Q2391" s="18"/>
    </row>
    <row r="2392" spans="6:17">
      <c r="F2392" s="18"/>
      <c r="G2392" s="18"/>
      <c r="H2392" s="18"/>
      <c r="I2392" s="18"/>
      <c r="J2392" s="18"/>
      <c r="K2392" s="18"/>
      <c r="L2392" s="18"/>
      <c r="M2392" s="18"/>
      <c r="N2392" s="18"/>
      <c r="O2392" s="18"/>
      <c r="P2392" s="18"/>
      <c r="Q2392" s="18"/>
    </row>
    <row r="2393" spans="6:17">
      <c r="F2393" s="18"/>
      <c r="G2393" s="18"/>
      <c r="H2393" s="18"/>
      <c r="I2393" s="18"/>
      <c r="J2393" s="18"/>
      <c r="K2393" s="18"/>
      <c r="L2393" s="18"/>
      <c r="M2393" s="18"/>
      <c r="N2393" s="18"/>
      <c r="O2393" s="18"/>
      <c r="P2393" s="18"/>
      <c r="Q2393" s="18"/>
    </row>
    <row r="2394" spans="6:17">
      <c r="F2394" s="18"/>
      <c r="G2394" s="18"/>
      <c r="H2394" s="18"/>
      <c r="I2394" s="18"/>
      <c r="J2394" s="18"/>
      <c r="K2394" s="18"/>
      <c r="L2394" s="18"/>
      <c r="M2394" s="18"/>
      <c r="N2394" s="18"/>
      <c r="O2394" s="18"/>
      <c r="P2394" s="18"/>
      <c r="Q2394" s="18"/>
    </row>
    <row r="2395" spans="6:17">
      <c r="F2395" s="18"/>
      <c r="G2395" s="18"/>
      <c r="H2395" s="18"/>
      <c r="I2395" s="18"/>
      <c r="J2395" s="18"/>
      <c r="K2395" s="18"/>
      <c r="L2395" s="18"/>
      <c r="M2395" s="18"/>
      <c r="N2395" s="18"/>
      <c r="O2395" s="18"/>
      <c r="P2395" s="18"/>
      <c r="Q2395" s="18"/>
    </row>
    <row r="2396" spans="6:17">
      <c r="F2396" s="18"/>
      <c r="G2396" s="18"/>
      <c r="H2396" s="18"/>
      <c r="I2396" s="18"/>
      <c r="J2396" s="18"/>
      <c r="K2396" s="18"/>
      <c r="L2396" s="18"/>
      <c r="M2396" s="18"/>
      <c r="N2396" s="18"/>
      <c r="O2396" s="18"/>
      <c r="P2396" s="18"/>
      <c r="Q2396" s="18"/>
    </row>
    <row r="2397" spans="6:17">
      <c r="F2397" s="18"/>
      <c r="G2397" s="18"/>
      <c r="H2397" s="18"/>
      <c r="I2397" s="18"/>
      <c r="J2397" s="18"/>
      <c r="K2397" s="18"/>
      <c r="L2397" s="18"/>
      <c r="M2397" s="18"/>
      <c r="N2397" s="18"/>
      <c r="O2397" s="18"/>
      <c r="P2397" s="18"/>
      <c r="Q2397" s="18"/>
    </row>
    <row r="2398" spans="6:17">
      <c r="F2398" s="18"/>
      <c r="G2398" s="18"/>
      <c r="H2398" s="18"/>
      <c r="I2398" s="18"/>
      <c r="J2398" s="18"/>
      <c r="K2398" s="18"/>
      <c r="L2398" s="18"/>
      <c r="M2398" s="18"/>
      <c r="N2398" s="18"/>
      <c r="O2398" s="18"/>
      <c r="P2398" s="18"/>
      <c r="Q2398" s="18"/>
    </row>
    <row r="2399" spans="6:17">
      <c r="F2399" s="18"/>
      <c r="G2399" s="18"/>
      <c r="H2399" s="18"/>
      <c r="I2399" s="18"/>
      <c r="J2399" s="18"/>
      <c r="K2399" s="18"/>
      <c r="L2399" s="18"/>
      <c r="M2399" s="18"/>
      <c r="N2399" s="18"/>
      <c r="O2399" s="18"/>
      <c r="P2399" s="18"/>
      <c r="Q2399" s="18"/>
    </row>
    <row r="2400" spans="6:17">
      <c r="F2400" s="18"/>
      <c r="G2400" s="18"/>
      <c r="H2400" s="18"/>
      <c r="I2400" s="18"/>
      <c r="J2400" s="18"/>
      <c r="K2400" s="18"/>
      <c r="L2400" s="18"/>
      <c r="M2400" s="18"/>
      <c r="N2400" s="18"/>
      <c r="O2400" s="18"/>
      <c r="P2400" s="18"/>
      <c r="Q2400" s="18"/>
    </row>
    <row r="2401" spans="6:17">
      <c r="F2401" s="18"/>
      <c r="G2401" s="18"/>
      <c r="H2401" s="18"/>
      <c r="I2401" s="18"/>
      <c r="J2401" s="18"/>
      <c r="K2401" s="18"/>
      <c r="L2401" s="18"/>
      <c r="M2401" s="18"/>
      <c r="N2401" s="18"/>
      <c r="O2401" s="18"/>
      <c r="P2401" s="18"/>
      <c r="Q2401" s="18"/>
    </row>
    <row r="2402" spans="6:17">
      <c r="F2402" s="18"/>
      <c r="G2402" s="18"/>
      <c r="H2402" s="18"/>
      <c r="I2402" s="18"/>
      <c r="J2402" s="18"/>
      <c r="K2402" s="18"/>
      <c r="L2402" s="18"/>
      <c r="M2402" s="18"/>
      <c r="N2402" s="18"/>
      <c r="O2402" s="18"/>
      <c r="P2402" s="18"/>
      <c r="Q2402" s="18"/>
    </row>
    <row r="2403" spans="6:17">
      <c r="F2403" s="18"/>
      <c r="G2403" s="18"/>
      <c r="H2403" s="18"/>
      <c r="I2403" s="18"/>
      <c r="J2403" s="18"/>
      <c r="K2403" s="18"/>
      <c r="L2403" s="18"/>
      <c r="M2403" s="18"/>
      <c r="N2403" s="18"/>
      <c r="O2403" s="18"/>
      <c r="P2403" s="18"/>
      <c r="Q2403" s="18"/>
    </row>
    <row r="2404" spans="6:17">
      <c r="F2404" s="18"/>
      <c r="G2404" s="18"/>
      <c r="H2404" s="18"/>
      <c r="I2404" s="18"/>
      <c r="J2404" s="18"/>
      <c r="K2404" s="18"/>
      <c r="L2404" s="18"/>
      <c r="M2404" s="18"/>
      <c r="N2404" s="18"/>
      <c r="O2404" s="18"/>
      <c r="P2404" s="18"/>
      <c r="Q2404" s="18"/>
    </row>
    <row r="2405" spans="6:17">
      <c r="F2405" s="18"/>
      <c r="G2405" s="18"/>
      <c r="H2405" s="18"/>
      <c r="I2405" s="18"/>
      <c r="J2405" s="18"/>
      <c r="K2405" s="18"/>
      <c r="L2405" s="18"/>
      <c r="M2405" s="18"/>
      <c r="N2405" s="18"/>
      <c r="O2405" s="18"/>
      <c r="P2405" s="18"/>
      <c r="Q2405" s="18"/>
    </row>
    <row r="2406" spans="6:17">
      <c r="F2406" s="18"/>
      <c r="G2406" s="18"/>
      <c r="H2406" s="18"/>
      <c r="I2406" s="18"/>
      <c r="J2406" s="18"/>
      <c r="K2406" s="18"/>
      <c r="L2406" s="18"/>
      <c r="M2406" s="18"/>
      <c r="N2406" s="18"/>
      <c r="O2406" s="18"/>
      <c r="P2406" s="18"/>
      <c r="Q2406" s="18"/>
    </row>
    <row r="2407" spans="6:17">
      <c r="F2407" s="18"/>
      <c r="G2407" s="18"/>
      <c r="H2407" s="18"/>
      <c r="I2407" s="18"/>
      <c r="J2407" s="18"/>
      <c r="K2407" s="18"/>
      <c r="L2407" s="18"/>
      <c r="M2407" s="18"/>
      <c r="N2407" s="18"/>
      <c r="O2407" s="18"/>
      <c r="P2407" s="18"/>
      <c r="Q2407" s="18"/>
    </row>
    <row r="2408" spans="6:17">
      <c r="F2408" s="18"/>
      <c r="G2408" s="18"/>
      <c r="H2408" s="18"/>
      <c r="I2408" s="18"/>
      <c r="J2408" s="18"/>
      <c r="K2408" s="18"/>
      <c r="L2408" s="18"/>
      <c r="M2408" s="18"/>
      <c r="N2408" s="18"/>
      <c r="O2408" s="18"/>
      <c r="P2408" s="18"/>
      <c r="Q2408" s="18"/>
    </row>
    <row r="2409" spans="6:17">
      <c r="F2409" s="18"/>
      <c r="G2409" s="18"/>
      <c r="H2409" s="18"/>
      <c r="I2409" s="18"/>
      <c r="J2409" s="18"/>
      <c r="K2409" s="18"/>
      <c r="L2409" s="18"/>
      <c r="M2409" s="18"/>
      <c r="N2409" s="18"/>
      <c r="O2409" s="18"/>
      <c r="P2409" s="18"/>
      <c r="Q2409" s="18"/>
    </row>
    <row r="2410" spans="6:17">
      <c r="F2410" s="18"/>
      <c r="G2410" s="18"/>
      <c r="H2410" s="18"/>
      <c r="I2410" s="18"/>
      <c r="J2410" s="18"/>
      <c r="K2410" s="18"/>
      <c r="L2410" s="18"/>
      <c r="M2410" s="18"/>
      <c r="N2410" s="18"/>
      <c r="O2410" s="18"/>
      <c r="P2410" s="18"/>
      <c r="Q2410" s="18"/>
    </row>
    <row r="2411" spans="6:17">
      <c r="F2411" s="18"/>
      <c r="G2411" s="18"/>
      <c r="H2411" s="18"/>
      <c r="I2411" s="18"/>
      <c r="J2411" s="18"/>
      <c r="K2411" s="18"/>
      <c r="L2411" s="18"/>
      <c r="M2411" s="18"/>
      <c r="N2411" s="18"/>
      <c r="O2411" s="18"/>
      <c r="P2411" s="18"/>
      <c r="Q2411" s="18"/>
    </row>
    <row r="2412" spans="6:17">
      <c r="F2412" s="18"/>
      <c r="G2412" s="18"/>
      <c r="H2412" s="18"/>
      <c r="I2412" s="18"/>
      <c r="J2412" s="18"/>
      <c r="K2412" s="18"/>
      <c r="L2412" s="18"/>
      <c r="M2412" s="18"/>
      <c r="N2412" s="18"/>
      <c r="O2412" s="18"/>
      <c r="P2412" s="18"/>
      <c r="Q2412" s="18"/>
    </row>
    <row r="2413" spans="6:17">
      <c r="F2413" s="18"/>
      <c r="G2413" s="18"/>
      <c r="H2413" s="18"/>
      <c r="I2413" s="18"/>
      <c r="J2413" s="18"/>
      <c r="K2413" s="18"/>
      <c r="L2413" s="18"/>
      <c r="M2413" s="18"/>
      <c r="N2413" s="18"/>
      <c r="O2413" s="18"/>
      <c r="P2413" s="18"/>
      <c r="Q2413" s="18"/>
    </row>
    <row r="2414" spans="6:17">
      <c r="F2414" s="18"/>
      <c r="G2414" s="18"/>
      <c r="H2414" s="18"/>
      <c r="I2414" s="18"/>
      <c r="J2414" s="18"/>
      <c r="K2414" s="18"/>
      <c r="L2414" s="18"/>
      <c r="M2414" s="18"/>
      <c r="N2414" s="18"/>
      <c r="O2414" s="18"/>
      <c r="P2414" s="18"/>
      <c r="Q2414" s="18"/>
    </row>
    <row r="2415" spans="6:17">
      <c r="F2415" s="18"/>
      <c r="G2415" s="18"/>
      <c r="H2415" s="18"/>
      <c r="I2415" s="18"/>
      <c r="J2415" s="18"/>
      <c r="K2415" s="18"/>
      <c r="L2415" s="18"/>
      <c r="M2415" s="18"/>
      <c r="N2415" s="18"/>
      <c r="O2415" s="18"/>
      <c r="P2415" s="18"/>
      <c r="Q2415" s="18"/>
    </row>
    <row r="2416" spans="6:17">
      <c r="F2416" s="18"/>
      <c r="G2416" s="18"/>
      <c r="H2416" s="18"/>
      <c r="I2416" s="18"/>
      <c r="J2416" s="18"/>
      <c r="K2416" s="18"/>
      <c r="L2416" s="18"/>
      <c r="M2416" s="18"/>
      <c r="N2416" s="18"/>
      <c r="O2416" s="18"/>
      <c r="P2416" s="18"/>
      <c r="Q2416" s="18"/>
    </row>
    <row r="2417" spans="6:17">
      <c r="F2417" s="18"/>
      <c r="G2417" s="18"/>
      <c r="H2417" s="18"/>
      <c r="I2417" s="18"/>
      <c r="J2417" s="18"/>
      <c r="K2417" s="18"/>
      <c r="L2417" s="18"/>
      <c r="M2417" s="18"/>
      <c r="N2417" s="18"/>
      <c r="O2417" s="18"/>
      <c r="P2417" s="18"/>
      <c r="Q2417" s="18"/>
    </row>
    <row r="2418" spans="6:17">
      <c r="F2418" s="18"/>
      <c r="G2418" s="18"/>
      <c r="H2418" s="18"/>
      <c r="I2418" s="18"/>
      <c r="J2418" s="18"/>
      <c r="K2418" s="18"/>
      <c r="L2418" s="18"/>
      <c r="M2418" s="18"/>
      <c r="N2418" s="18"/>
      <c r="O2418" s="18"/>
      <c r="P2418" s="18"/>
      <c r="Q2418" s="18"/>
    </row>
    <row r="2419" spans="6:17">
      <c r="F2419" s="18"/>
      <c r="G2419" s="18"/>
      <c r="H2419" s="18"/>
      <c r="I2419" s="18"/>
      <c r="J2419" s="18"/>
      <c r="K2419" s="18"/>
      <c r="L2419" s="18"/>
      <c r="M2419" s="18"/>
      <c r="N2419" s="18"/>
      <c r="O2419" s="18"/>
      <c r="P2419" s="18"/>
      <c r="Q2419" s="18"/>
    </row>
    <row r="2420" spans="6:17">
      <c r="F2420" s="18"/>
      <c r="G2420" s="18"/>
      <c r="H2420" s="18"/>
      <c r="I2420" s="18"/>
      <c r="J2420" s="18"/>
      <c r="K2420" s="18"/>
      <c r="L2420" s="18"/>
      <c r="M2420" s="18"/>
      <c r="N2420" s="18"/>
      <c r="O2420" s="18"/>
      <c r="P2420" s="18"/>
      <c r="Q2420" s="18"/>
    </row>
    <row r="2421" spans="6:17">
      <c r="F2421" s="18"/>
      <c r="G2421" s="18"/>
      <c r="H2421" s="18"/>
      <c r="I2421" s="18"/>
      <c r="J2421" s="18"/>
      <c r="K2421" s="18"/>
      <c r="L2421" s="18"/>
      <c r="M2421" s="18"/>
      <c r="N2421" s="18"/>
      <c r="O2421" s="18"/>
      <c r="P2421" s="18"/>
      <c r="Q2421" s="18"/>
    </row>
    <row r="2422" spans="6:17">
      <c r="F2422" s="18"/>
      <c r="G2422" s="18"/>
      <c r="H2422" s="18"/>
      <c r="I2422" s="18"/>
      <c r="J2422" s="18"/>
      <c r="K2422" s="18"/>
      <c r="L2422" s="18"/>
      <c r="M2422" s="18"/>
      <c r="N2422" s="18"/>
      <c r="O2422" s="18"/>
      <c r="P2422" s="18"/>
      <c r="Q2422" s="18"/>
    </row>
    <row r="2423" spans="6:17">
      <c r="F2423" s="18"/>
      <c r="G2423" s="18"/>
      <c r="H2423" s="18"/>
      <c r="I2423" s="18"/>
      <c r="J2423" s="18"/>
      <c r="K2423" s="18"/>
      <c r="L2423" s="18"/>
      <c r="M2423" s="18"/>
      <c r="N2423" s="18"/>
      <c r="O2423" s="18"/>
      <c r="P2423" s="18"/>
      <c r="Q2423" s="18"/>
    </row>
    <row r="2424" spans="6:17">
      <c r="F2424" s="18"/>
      <c r="G2424" s="18"/>
      <c r="H2424" s="18"/>
      <c r="I2424" s="18"/>
      <c r="J2424" s="18"/>
      <c r="K2424" s="18"/>
      <c r="L2424" s="18"/>
      <c r="M2424" s="18"/>
      <c r="N2424" s="18"/>
      <c r="O2424" s="18"/>
      <c r="P2424" s="18"/>
      <c r="Q2424" s="18"/>
    </row>
    <row r="2425" spans="6:17">
      <c r="F2425" s="18"/>
      <c r="G2425" s="18"/>
      <c r="H2425" s="18"/>
      <c r="I2425" s="18"/>
      <c r="J2425" s="18"/>
      <c r="K2425" s="18"/>
      <c r="L2425" s="18"/>
      <c r="M2425" s="18"/>
      <c r="N2425" s="18"/>
      <c r="O2425" s="18"/>
      <c r="P2425" s="18"/>
      <c r="Q2425" s="18"/>
    </row>
    <row r="2426" spans="6:17">
      <c r="F2426" s="18"/>
      <c r="G2426" s="18"/>
      <c r="H2426" s="18"/>
      <c r="I2426" s="18"/>
      <c r="J2426" s="18"/>
      <c r="K2426" s="18"/>
      <c r="L2426" s="18"/>
      <c r="M2426" s="18"/>
      <c r="N2426" s="18"/>
      <c r="O2426" s="18"/>
      <c r="P2426" s="18"/>
      <c r="Q2426" s="18"/>
    </row>
    <row r="2427" spans="6:17">
      <c r="F2427" s="18"/>
      <c r="G2427" s="18"/>
      <c r="H2427" s="18"/>
      <c r="I2427" s="18"/>
      <c r="J2427" s="18"/>
      <c r="K2427" s="18"/>
      <c r="L2427" s="18"/>
      <c r="M2427" s="18"/>
      <c r="N2427" s="18"/>
      <c r="O2427" s="18"/>
      <c r="P2427" s="18"/>
      <c r="Q2427" s="18"/>
    </row>
    <row r="2428" spans="6:17">
      <c r="F2428" s="18"/>
      <c r="G2428" s="18"/>
      <c r="H2428" s="18"/>
      <c r="I2428" s="18"/>
      <c r="J2428" s="18"/>
      <c r="K2428" s="18"/>
      <c r="L2428" s="18"/>
      <c r="M2428" s="18"/>
      <c r="N2428" s="18"/>
      <c r="O2428" s="18"/>
      <c r="P2428" s="18"/>
      <c r="Q2428" s="18"/>
    </row>
    <row r="2429" spans="6:17">
      <c r="F2429" s="18"/>
      <c r="G2429" s="18"/>
      <c r="H2429" s="18"/>
      <c r="I2429" s="18"/>
      <c r="J2429" s="18"/>
      <c r="K2429" s="18"/>
      <c r="L2429" s="18"/>
      <c r="M2429" s="18"/>
      <c r="N2429" s="18"/>
      <c r="O2429" s="18"/>
      <c r="P2429" s="18"/>
      <c r="Q2429" s="18"/>
    </row>
    <row r="2430" spans="6:17">
      <c r="F2430" s="18"/>
      <c r="G2430" s="18"/>
      <c r="H2430" s="18"/>
      <c r="I2430" s="18"/>
      <c r="J2430" s="18"/>
      <c r="K2430" s="18"/>
      <c r="L2430" s="18"/>
      <c r="M2430" s="18"/>
      <c r="N2430" s="18"/>
      <c r="O2430" s="18"/>
      <c r="P2430" s="18"/>
      <c r="Q2430" s="18"/>
    </row>
    <row r="2431" spans="6:17">
      <c r="F2431" s="18"/>
      <c r="G2431" s="18"/>
      <c r="H2431" s="18"/>
      <c r="I2431" s="18"/>
      <c r="J2431" s="18"/>
      <c r="K2431" s="18"/>
      <c r="L2431" s="18"/>
      <c r="M2431" s="18"/>
      <c r="N2431" s="18"/>
      <c r="O2431" s="18"/>
      <c r="P2431" s="18"/>
      <c r="Q2431" s="18"/>
    </row>
    <row r="2432" spans="6:17">
      <c r="F2432" s="18"/>
      <c r="G2432" s="18"/>
      <c r="H2432" s="18"/>
      <c r="I2432" s="18"/>
      <c r="J2432" s="18"/>
      <c r="K2432" s="18"/>
      <c r="L2432" s="18"/>
      <c r="M2432" s="18"/>
      <c r="N2432" s="18"/>
      <c r="O2432" s="18"/>
      <c r="P2432" s="18"/>
      <c r="Q2432" s="18"/>
    </row>
    <row r="2433" spans="6:17">
      <c r="F2433" s="18"/>
      <c r="G2433" s="18"/>
      <c r="H2433" s="18"/>
      <c r="I2433" s="18"/>
      <c r="J2433" s="18"/>
      <c r="K2433" s="18"/>
      <c r="L2433" s="18"/>
      <c r="M2433" s="18"/>
      <c r="N2433" s="18"/>
      <c r="O2433" s="18"/>
      <c r="P2433" s="18"/>
      <c r="Q2433" s="18"/>
    </row>
    <row r="2434" spans="6:17">
      <c r="F2434" s="18"/>
      <c r="G2434" s="18"/>
      <c r="H2434" s="18"/>
      <c r="I2434" s="18"/>
      <c r="J2434" s="18"/>
      <c r="K2434" s="18"/>
      <c r="L2434" s="18"/>
      <c r="M2434" s="18"/>
      <c r="N2434" s="18"/>
      <c r="O2434" s="18"/>
      <c r="P2434" s="18"/>
      <c r="Q2434" s="18"/>
    </row>
    <row r="2435" spans="6:17">
      <c r="F2435" s="18"/>
      <c r="G2435" s="18"/>
      <c r="H2435" s="18"/>
      <c r="I2435" s="18"/>
      <c r="J2435" s="18"/>
      <c r="K2435" s="18"/>
      <c r="L2435" s="18"/>
      <c r="M2435" s="18"/>
      <c r="N2435" s="18"/>
      <c r="O2435" s="18"/>
      <c r="P2435" s="18"/>
      <c r="Q2435" s="18"/>
    </row>
    <row r="2436" spans="6:17">
      <c r="F2436" s="18"/>
      <c r="G2436" s="18"/>
      <c r="H2436" s="18"/>
      <c r="I2436" s="18"/>
      <c r="J2436" s="18"/>
      <c r="K2436" s="18"/>
      <c r="L2436" s="18"/>
      <c r="M2436" s="18"/>
      <c r="N2436" s="18"/>
      <c r="O2436" s="18"/>
      <c r="P2436" s="18"/>
      <c r="Q2436" s="18"/>
    </row>
    <row r="2437" spans="6:17">
      <c r="F2437" s="18"/>
      <c r="G2437" s="18"/>
      <c r="H2437" s="18"/>
      <c r="I2437" s="18"/>
      <c r="J2437" s="18"/>
      <c r="K2437" s="18"/>
      <c r="L2437" s="18"/>
      <c r="M2437" s="18"/>
      <c r="N2437" s="18"/>
      <c r="O2437" s="18"/>
      <c r="P2437" s="18"/>
      <c r="Q2437" s="18"/>
    </row>
    <row r="2438" spans="6:17">
      <c r="F2438" s="18"/>
      <c r="G2438" s="18"/>
      <c r="H2438" s="18"/>
      <c r="I2438" s="18"/>
      <c r="J2438" s="18"/>
      <c r="K2438" s="18"/>
      <c r="L2438" s="18"/>
      <c r="M2438" s="18"/>
      <c r="N2438" s="18"/>
      <c r="O2438" s="18"/>
      <c r="P2438" s="18"/>
      <c r="Q2438" s="18"/>
    </row>
    <row r="2439" spans="6:17">
      <c r="F2439" s="18"/>
      <c r="G2439" s="18"/>
      <c r="H2439" s="18"/>
      <c r="I2439" s="18"/>
      <c r="J2439" s="18"/>
      <c r="K2439" s="18"/>
      <c r="L2439" s="18"/>
      <c r="M2439" s="18"/>
      <c r="N2439" s="18"/>
      <c r="O2439" s="18"/>
      <c r="P2439" s="18"/>
      <c r="Q2439" s="18"/>
    </row>
    <row r="2440" spans="6:17">
      <c r="F2440" s="18"/>
      <c r="G2440" s="18"/>
      <c r="H2440" s="18"/>
      <c r="I2440" s="18"/>
      <c r="J2440" s="18"/>
      <c r="K2440" s="18"/>
      <c r="L2440" s="18"/>
      <c r="M2440" s="18"/>
      <c r="N2440" s="18"/>
      <c r="O2440" s="18"/>
      <c r="P2440" s="18"/>
      <c r="Q2440" s="18"/>
    </row>
    <row r="2441" spans="6:17">
      <c r="F2441" s="18"/>
      <c r="G2441" s="18"/>
      <c r="H2441" s="18"/>
      <c r="I2441" s="18"/>
      <c r="J2441" s="18"/>
      <c r="K2441" s="18"/>
      <c r="L2441" s="18"/>
      <c r="M2441" s="18"/>
      <c r="N2441" s="18"/>
      <c r="O2441" s="18"/>
      <c r="P2441" s="18"/>
      <c r="Q2441" s="18"/>
    </row>
    <row r="2442" spans="6:17">
      <c r="F2442" s="18"/>
      <c r="G2442" s="18"/>
      <c r="H2442" s="18"/>
      <c r="I2442" s="18"/>
      <c r="J2442" s="18"/>
      <c r="K2442" s="18"/>
      <c r="L2442" s="18"/>
      <c r="M2442" s="18"/>
      <c r="N2442" s="18"/>
      <c r="O2442" s="18"/>
      <c r="P2442" s="18"/>
      <c r="Q2442" s="18"/>
    </row>
    <row r="2443" spans="6:17">
      <c r="F2443" s="18"/>
      <c r="G2443" s="18"/>
      <c r="H2443" s="18"/>
      <c r="I2443" s="18"/>
      <c r="J2443" s="18"/>
      <c r="K2443" s="18"/>
      <c r="L2443" s="18"/>
      <c r="M2443" s="18"/>
      <c r="N2443" s="18"/>
      <c r="O2443" s="18"/>
      <c r="P2443" s="18"/>
      <c r="Q2443" s="18"/>
    </row>
    <row r="2444" spans="6:17">
      <c r="F2444" s="18"/>
      <c r="G2444" s="18"/>
      <c r="H2444" s="18"/>
      <c r="I2444" s="18"/>
      <c r="J2444" s="18"/>
      <c r="K2444" s="18"/>
      <c r="L2444" s="18"/>
      <c r="M2444" s="18"/>
      <c r="N2444" s="18"/>
      <c r="O2444" s="18"/>
      <c r="P2444" s="18"/>
      <c r="Q2444" s="18"/>
    </row>
    <row r="2445" spans="6:17">
      <c r="F2445" s="18"/>
      <c r="G2445" s="18"/>
      <c r="H2445" s="18"/>
      <c r="I2445" s="18"/>
      <c r="J2445" s="18"/>
      <c r="K2445" s="18"/>
      <c r="L2445" s="18"/>
      <c r="M2445" s="18"/>
      <c r="N2445" s="18"/>
      <c r="O2445" s="18"/>
      <c r="P2445" s="18"/>
      <c r="Q2445" s="18"/>
    </row>
    <row r="2446" spans="6:17">
      <c r="F2446" s="18"/>
      <c r="G2446" s="18"/>
      <c r="H2446" s="18"/>
      <c r="I2446" s="18"/>
      <c r="J2446" s="18"/>
      <c r="K2446" s="18"/>
      <c r="L2446" s="18"/>
      <c r="M2446" s="18"/>
      <c r="N2446" s="18"/>
      <c r="O2446" s="18"/>
      <c r="P2446" s="18"/>
      <c r="Q2446" s="18"/>
    </row>
    <row r="2447" spans="6:17">
      <c r="F2447" s="18"/>
      <c r="G2447" s="18"/>
      <c r="H2447" s="18"/>
      <c r="I2447" s="18"/>
      <c r="J2447" s="18"/>
      <c r="K2447" s="18"/>
      <c r="L2447" s="18"/>
      <c r="M2447" s="18"/>
      <c r="N2447" s="18"/>
      <c r="O2447" s="18"/>
      <c r="P2447" s="18"/>
      <c r="Q2447" s="18"/>
    </row>
    <row r="2448" spans="6:17">
      <c r="F2448" s="18"/>
      <c r="G2448" s="18"/>
      <c r="H2448" s="18"/>
      <c r="I2448" s="18"/>
      <c r="J2448" s="18"/>
      <c r="K2448" s="18"/>
      <c r="L2448" s="18"/>
      <c r="M2448" s="18"/>
      <c r="N2448" s="18"/>
      <c r="O2448" s="18"/>
      <c r="P2448" s="18"/>
      <c r="Q2448" s="18"/>
    </row>
    <row r="2449" spans="6:17">
      <c r="F2449" s="36" t="e">
        <f>(#REF!-#REF!)/#REF!</f>
        <v>#REF!</v>
      </c>
      <c r="G2449" s="36" t="e">
        <f>(#REF!-#REF!)/#REF!</f>
        <v>#REF!</v>
      </c>
      <c r="H2449" s="36" t="e">
        <f>(#REF!-#REF!)/#REF!</f>
        <v>#REF!</v>
      </c>
      <c r="I2449" s="36" t="e">
        <f>(#REF!-#REF!)/#REF!</f>
        <v>#REF!</v>
      </c>
      <c r="J2449" s="36" t="e">
        <f>(#REF!-#REF!)/#REF!</f>
        <v>#REF!</v>
      </c>
      <c r="K2449" s="36" t="e">
        <f>(C2449-C2208)/C2208</f>
        <v>#DIV/0!</v>
      </c>
      <c r="L2449" s="36" t="e">
        <f>(D2449-D2208)/D2208</f>
        <v>#DIV/0!</v>
      </c>
      <c r="M2449" s="36" t="e">
        <f>(F2449-F2208)/F2208</f>
        <v>#REF!</v>
      </c>
      <c r="N2449" s="36" t="e">
        <f>(G2449-G2208)/G2208</f>
        <v>#REF!</v>
      </c>
      <c r="O2449" s="36" t="e">
        <f>(H2449-H2208)/H2208</f>
        <v>#REF!</v>
      </c>
      <c r="P2449" s="36" t="e">
        <f>(I2449-I2208)/I2208</f>
        <v>#REF!</v>
      </c>
      <c r="Q2449" s="36"/>
    </row>
  </sheetData>
  <sortState ref="A1:AR2449">
    <sortCondition ref="AM1:AM2449" descending="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主要指数介绍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李芯杰</dc:creator>
  <cp:lastModifiedBy>李芯杰</cp:lastModifiedBy>
  <dcterms:created xsi:type="dcterms:W3CDTF">2025-12-28T13:53:00Z</dcterms:created>
  <dcterms:modified xsi:type="dcterms:W3CDTF">2026-04-18T09:10:44Z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BC10A03317FA44D0A53F91E97975994A_13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