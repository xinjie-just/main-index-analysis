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943" firstSheet="1"/>
  </bookViews>
  <sheets>
    <sheet name="央企红利" sheetId="1" r:id="rId1"/>
    <sheet name="国企红利" sheetId="3" r:id="rId2"/>
    <sheet name="港股通央企红利" sheetId="8" r:id="rId3"/>
    <sheet name="消费红利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<sst xmlns="http://schemas.openxmlformats.org/spreadsheetml/2006/main" count="43" uniqueCount="19">
  <si>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>指数代码</t>
  </si>
  <si>
    <t>指数中文全称</t>
  </si>
  <si>
    <t>指数中文简称</t>
  </si>
  <si>
    <t>年份</t>
  </si>
  <si>
    <t>本年收益率</t>
  </si>
  <si>
    <t>本年波动率</t>
  </si>
  <si>
    <t>无风险利率</t>
  </si>
  <si>
    <t>本年夏普比率</t>
  </si>
  <si>
    <t>000825</t>
  </si>
  <si>
    <t>中证中央企业红利指数</t>
  </si>
  <si>
    <t>央企红利</t>
  </si>
  <si>
    <t>000824</t>
  </si>
  <si>
    <t>中证国有企业红利指数</t>
  </si>
  <si>
    <t>国企红利</t>
  </si>
  <si>
    <t>中证港股通央企红利指数</t>
  </si>
  <si>
    <t>港股通央企红利</t>
  </si>
  <si>
    <t>H30094</t>
  </si>
  <si>
    <t>中证主要消费红利指数</t>
  </si>
  <si>
    <t>消费红利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</si>
</sst>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10" fontId="1" fillId="0" borderId="0" xfId="0" applyNumberFormat="1" applyFont="1" applyFill="1" applyAlignment="1">
      <alignment horizontal="left" vertical="center"/>
    </xf>
    <xf numFmtId="9" fontId="0" fillId="0" borderId="0" xfId="0" applyNumberFormat="1" applyFont="1" applyAlignment="1">
      <alignment horizontal="left" vertical="center"/>
    </xf>
    <xf numFmtId="0" fontId="0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F21" sqref="F21"/>
    </sheetView>
  </sheetViews>
  <sheetFormatPr defaultColWidth="9" defaultRowHeight="13.5" outlineLevelCol="7"/>
  <cols>
    <col min="1" max="1" width="9.24778761061947" style="1" customWidth="1"/>
    <col min="2" max="2" width="22.0796460176991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5" t="s">
        <v>8</v>
      </c>
      <c r="B2" s="1" t="s">
        <v>9</v>
      </c>
      <c r="C2" s="1" t="s">
        <v>10</v>
      </c>
      <c r="D2" s="1">
        <v>2009</v>
      </c>
      <c r="E2" s="3">
        <v>1.1079</v>
      </c>
      <c r="F2" s="3">
        <v>0.3638</v>
      </c>
      <c r="G2" s="4">
        <v>0.03</v>
      </c>
      <c r="H2" s="2">
        <f>(E2-G2)/F2</f>
        <v>2.96289169873557</v>
      </c>
    </row>
    <row r="3" spans="1:8">
      <c r="D3" s="1">
        <v>2010</v>
      </c>
      <c r="E3" s="3">
        <v>0.0432</v>
      </c>
      <c r="F3" s="3">
        <v>0.2435</v>
      </c>
      <c r="G3" s="4">
        <v>0.03</v>
      </c>
      <c r="H3" s="2">
        <f t="shared" ref="H2:H18" si="0">(E3-G3)/F3</f>
        <v>0.0542094455852156</v>
      </c>
    </row>
    <row r="4" spans="1:8">
      <c r="D4" s="1">
        <v>2011</v>
      </c>
      <c r="E4" s="3">
        <v>-0.2143</v>
      </c>
      <c r="F4" s="3">
        <v>0.1739</v>
      </c>
      <c r="G4" s="4">
        <v>0.03</v>
      </c>
      <c r="H4" s="2">
        <f t="shared" si="0"/>
        <v>-1.40483036227717</v>
      </c>
    </row>
    <row r="5" spans="1:8">
      <c r="D5" s="1">
        <v>2012</v>
      </c>
      <c r="E5" s="3">
        <v>0.0593</v>
      </c>
      <c r="F5" s="3">
        <v>0.1787</v>
      </c>
      <c r="G5" s="4">
        <v>0.03</v>
      </c>
      <c r="H5" s="2">
        <f t="shared" si="0"/>
        <v>0.163961947397874</v>
      </c>
    </row>
    <row r="6" spans="1:8">
      <c r="D6" s="1">
        <v>2013</v>
      </c>
      <c r="E6" s="3">
        <v>-0.0898</v>
      </c>
      <c r="F6" s="3">
        <v>0.1877</v>
      </c>
      <c r="G6" s="4">
        <v>0.03</v>
      </c>
      <c r="H6" s="2">
        <f t="shared" si="0"/>
        <v>-0.63825253063399</v>
      </c>
    </row>
    <row r="7" spans="1:8">
      <c r="D7" s="1">
        <v>2014</v>
      </c>
      <c r="E7" s="3">
        <v>0.7194</v>
      </c>
      <c r="F7" s="3">
        <v>0.1877</v>
      </c>
      <c r="G7" s="4">
        <v>0.03</v>
      </c>
      <c r="H7" s="2">
        <f t="shared" si="0"/>
        <v>3.67288225892381</v>
      </c>
    </row>
    <row r="8" spans="1:8">
      <c r="D8" s="1">
        <v>2015</v>
      </c>
      <c r="E8" s="3">
        <v>-0.045</v>
      </c>
      <c r="F8" s="3">
        <v>0.408</v>
      </c>
      <c r="G8" s="4">
        <v>0.03</v>
      </c>
      <c r="H8" s="2">
        <f t="shared" si="0"/>
        <v>-0.183823529411765</v>
      </c>
    </row>
    <row r="9" spans="1:8">
      <c r="D9" s="1">
        <v>2016</v>
      </c>
      <c r="E9" s="3">
        <v>-0.0817</v>
      </c>
      <c r="F9" s="3">
        <v>0.1844</v>
      </c>
      <c r="G9" s="4">
        <v>0.03</v>
      </c>
      <c r="H9" s="2">
        <f t="shared" si="0"/>
        <v>-0.605748373101952</v>
      </c>
    </row>
    <row r="10" spans="1:8">
      <c r="D10" s="1">
        <v>2017</v>
      </c>
      <c r="E10" s="3">
        <v>0.1543</v>
      </c>
      <c r="F10" s="3">
        <v>0.0858</v>
      </c>
      <c r="G10" s="4">
        <v>0.03</v>
      </c>
      <c r="H10" s="2">
        <f t="shared" si="0"/>
        <v>1.44871794871795</v>
      </c>
    </row>
    <row r="11" spans="1:8">
      <c r="D11" s="1">
        <v>2018</v>
      </c>
      <c r="E11" s="3">
        <v>-0.1253</v>
      </c>
      <c r="F11" s="3">
        <v>0.1868</v>
      </c>
      <c r="G11" s="4">
        <v>0.03</v>
      </c>
      <c r="H11" s="2">
        <f t="shared" si="0"/>
        <v>-0.831370449678801</v>
      </c>
    </row>
    <row r="12" spans="1:8">
      <c r="D12" s="1">
        <v>2019</v>
      </c>
      <c r="E12" s="3">
        <v>0.0751</v>
      </c>
      <c r="F12" s="3">
        <v>0.168</v>
      </c>
      <c r="G12" s="4">
        <v>0.03</v>
      </c>
      <c r="H12" s="2">
        <f t="shared" si="0"/>
        <v>0.268452380952381</v>
      </c>
    </row>
    <row r="13" spans="1:8">
      <c r="D13" s="1">
        <v>2020</v>
      </c>
      <c r="E13" s="3">
        <v>-0.0789</v>
      </c>
      <c r="F13" s="3">
        <v>0.1882</v>
      </c>
      <c r="G13" s="4">
        <v>0.03</v>
      </c>
      <c r="H13" s="2">
        <f t="shared" si="0"/>
        <v>-0.578639744952179</v>
      </c>
    </row>
    <row r="14" spans="1:8">
      <c r="D14" s="1">
        <v>2021</v>
      </c>
      <c r="E14" s="3">
        <v>0.0971</v>
      </c>
      <c r="F14" s="3">
        <v>0.195</v>
      </c>
      <c r="G14" s="4">
        <v>0.03</v>
      </c>
      <c r="H14" s="2">
        <f t="shared" si="0"/>
        <v>0.344102564102564</v>
      </c>
    </row>
    <row r="15" spans="1:8">
      <c r="D15" s="1">
        <v>2022</v>
      </c>
      <c r="E15" s="3">
        <v>-0.0627</v>
      </c>
      <c r="F15" s="3">
        <v>0.1824</v>
      </c>
      <c r="G15" s="4">
        <v>0.03</v>
      </c>
      <c r="H15" s="2">
        <f t="shared" si="0"/>
        <v>-0.508223684210526</v>
      </c>
    </row>
    <row r="16" spans="1:8">
      <c r="D16" s="1">
        <v>2023</v>
      </c>
      <c r="E16" s="3">
        <v>0.0278</v>
      </c>
      <c r="F16" s="3">
        <v>0.1418</v>
      </c>
      <c r="G16" s="4">
        <v>0.03</v>
      </c>
      <c r="H16" s="2">
        <f t="shared" si="0"/>
        <v>-0.0155148095909732</v>
      </c>
    </row>
    <row r="17" spans="4:8">
      <c r="D17" s="1">
        <v>2024</v>
      </c>
      <c r="E17" s="3">
        <v>0.231</v>
      </c>
      <c r="F17" s="3">
        <v>0.1869</v>
      </c>
      <c r="G17" s="4">
        <v>0.03</v>
      </c>
      <c r="H17" s="2">
        <f t="shared" si="0"/>
        <v>1.07544141252006</v>
      </c>
    </row>
    <row r="18" spans="4:8">
      <c r="D18" s="1">
        <v>2025</v>
      </c>
      <c r="E18" s="3">
        <v>0.0568</v>
      </c>
      <c r="F18" s="3">
        <v>0.1198</v>
      </c>
      <c r="G18" s="4">
        <v>0.03</v>
      </c>
      <c r="H18" s="2">
        <f t="shared" si="0"/>
        <v>0.223706176961603</v>
      </c>
    </row>
  </sheetData>
  <mergeCells count="3">
    <mergeCell ref="A2:A18"/>
    <mergeCell ref="B2:B18"/>
    <mergeCell ref="C2:C1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K6" sqref="K6"/>
    </sheetView>
  </sheetViews>
  <sheetFormatPr defaultColWidth="9.02654867256637" defaultRowHeight="13.5" outlineLevelCol="7"/>
  <cols>
    <col min="1" max="1" width="9.24778761061947" style="1" customWidth="1"/>
    <col min="2" max="2" width="22.0796460176991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1" spans="1:8">
      <c r="A2" s="5" t="s">
        <v>11</v>
      </c>
      <c r="B2" s="1" t="s">
        <v>12</v>
      </c>
      <c r="C2" s="1" t="s">
        <v>13</v>
      </c>
      <c r="D2" s="1">
        <v>2006</v>
      </c>
      <c r="E2" s="3">
        <v>-0.4693</v>
      </c>
      <c r="F2" s="3">
        <v>0.2429</v>
      </c>
      <c r="G2" s="4">
        <v>0.03</v>
      </c>
      <c r="H2" s="2">
        <f>(E2-G2)/F2</f>
        <v>-2.05557842733635</v>
      </c>
    </row>
    <row r="3" customFormat="1" spans="1:8">
      <c r="A3" s="1"/>
      <c r="B3" s="1"/>
      <c r="C3" s="1"/>
      <c r="D3" s="1">
        <v>2007</v>
      </c>
      <c r="E3" s="3">
        <v>1.9641</v>
      </c>
      <c r="F3" s="3">
        <v>0.4254</v>
      </c>
      <c r="G3" s="4">
        <v>0.03</v>
      </c>
      <c r="H3" s="2">
        <f t="shared" ref="H3:H21" si="0">(E3-G3)/F3</f>
        <v>4.54654442877292</v>
      </c>
    </row>
    <row r="4" customFormat="1" spans="1:8">
      <c r="A4" s="1"/>
      <c r="B4" s="1"/>
      <c r="C4" s="1"/>
      <c r="D4" s="1">
        <v>2008</v>
      </c>
      <c r="E4" s="3">
        <v>-0.6253</v>
      </c>
      <c r="F4" s="3">
        <v>0.4849</v>
      </c>
      <c r="G4" s="4">
        <v>0.03</v>
      </c>
      <c r="H4" s="2">
        <f t="shared" si="0"/>
        <v>-1.35141266240462</v>
      </c>
    </row>
    <row r="5" customFormat="1" spans="1:8">
      <c r="A5" s="1"/>
      <c r="B5" s="1"/>
      <c r="C5" s="1"/>
      <c r="D5" s="1">
        <v>2009</v>
      </c>
      <c r="E5" s="3">
        <v>1.0308</v>
      </c>
      <c r="F5" s="3">
        <v>0.3459</v>
      </c>
      <c r="G5" s="4">
        <v>0.03</v>
      </c>
      <c r="H5" s="2">
        <f t="shared" si="0"/>
        <v>2.89332176929748</v>
      </c>
    </row>
    <row r="6" spans="1:8">
      <c r="D6" s="1">
        <v>2010</v>
      </c>
      <c r="E6" s="3">
        <v>-0.0309</v>
      </c>
      <c r="F6" s="3">
        <v>0.2334</v>
      </c>
      <c r="G6" s="4">
        <v>0.03</v>
      </c>
      <c r="H6" s="2">
        <f t="shared" si="0"/>
        <v>-0.260925449871465</v>
      </c>
    </row>
    <row r="7" spans="1:8">
      <c r="D7" s="1">
        <v>2011</v>
      </c>
      <c r="E7" s="3">
        <v>-0.2563</v>
      </c>
      <c r="F7" s="3">
        <v>0.1834</v>
      </c>
      <c r="G7" s="4">
        <v>0.03</v>
      </c>
      <c r="H7" s="2">
        <f t="shared" si="0"/>
        <v>-1.56106870229008</v>
      </c>
    </row>
    <row r="8" spans="1:8">
      <c r="D8" s="1">
        <v>2012</v>
      </c>
      <c r="E8" s="3">
        <v>0.052</v>
      </c>
      <c r="F8" s="3">
        <v>0.1898</v>
      </c>
      <c r="G8" s="4">
        <v>0.03</v>
      </c>
      <c r="H8" s="2">
        <f t="shared" si="0"/>
        <v>0.1159114857745</v>
      </c>
    </row>
    <row r="9" spans="1:8">
      <c r="D9" s="1">
        <v>2013</v>
      </c>
      <c r="E9" s="3">
        <v>-0.0177</v>
      </c>
      <c r="F9" s="3">
        <v>0.183</v>
      </c>
      <c r="G9" s="4">
        <v>0.03</v>
      </c>
      <c r="H9" s="2">
        <f t="shared" si="0"/>
        <v>-0.260655737704918</v>
      </c>
    </row>
    <row r="10" spans="1:8">
      <c r="D10" s="1">
        <v>2014</v>
      </c>
      <c r="E10" s="3">
        <v>0.599</v>
      </c>
      <c r="F10" s="3">
        <v>0.1828</v>
      </c>
      <c r="G10" s="4">
        <v>0.03</v>
      </c>
      <c r="H10" s="2">
        <f t="shared" si="0"/>
        <v>3.11269146608315</v>
      </c>
    </row>
    <row r="11" spans="1:8">
      <c r="D11" s="1">
        <v>2015</v>
      </c>
      <c r="E11" s="3">
        <v>0.058</v>
      </c>
      <c r="F11" s="3">
        <v>0.4152</v>
      </c>
      <c r="G11" s="4">
        <v>0.03</v>
      </c>
      <c r="H11" s="2">
        <f t="shared" si="0"/>
        <v>0.0674373795761079</v>
      </c>
    </row>
    <row r="12" spans="1:8">
      <c r="D12" s="1">
        <v>2016</v>
      </c>
      <c r="E12" s="3">
        <v>-0.0593</v>
      </c>
      <c r="F12" s="3">
        <v>0.1885</v>
      </c>
      <c r="G12" s="4">
        <v>0.03</v>
      </c>
      <c r="H12" s="2">
        <f t="shared" si="0"/>
        <v>-0.473740053050398</v>
      </c>
    </row>
    <row r="13" spans="1:8">
      <c r="D13" s="1">
        <v>2017</v>
      </c>
      <c r="E13" s="3">
        <v>0.2304</v>
      </c>
      <c r="F13" s="3">
        <v>0.093</v>
      </c>
      <c r="G13" s="4">
        <v>0.03</v>
      </c>
      <c r="H13" s="2">
        <f t="shared" si="0"/>
        <v>2.15483870967742</v>
      </c>
    </row>
    <row r="14" spans="1:8">
      <c r="D14" s="1">
        <v>2018</v>
      </c>
      <c r="E14" s="3">
        <v>-0.1708</v>
      </c>
      <c r="F14" s="3">
        <v>0.1875</v>
      </c>
      <c r="G14" s="4">
        <v>0.03</v>
      </c>
      <c r="H14" s="2">
        <f t="shared" si="0"/>
        <v>-1.07093333333333</v>
      </c>
    </row>
    <row r="15" spans="1:8">
      <c r="D15" s="1">
        <v>2019</v>
      </c>
      <c r="E15" s="3">
        <v>0.1723</v>
      </c>
      <c r="F15" s="3">
        <v>0.1761</v>
      </c>
      <c r="G15" s="4">
        <v>0.03</v>
      </c>
      <c r="H15" s="2">
        <f t="shared" si="0"/>
        <v>0.808063600227144</v>
      </c>
    </row>
    <row r="16" spans="1:8">
      <c r="D16" s="1">
        <v>2020</v>
      </c>
      <c r="E16" s="3">
        <v>-0.0268</v>
      </c>
      <c r="F16" s="3">
        <v>0.206</v>
      </c>
      <c r="G16" s="4">
        <v>0.03</v>
      </c>
      <c r="H16" s="2">
        <f t="shared" si="0"/>
        <v>-0.275728155339806</v>
      </c>
    </row>
    <row r="17" spans="4:8">
      <c r="D17" s="1">
        <v>2021</v>
      </c>
      <c r="E17" s="3">
        <v>0.1078</v>
      </c>
      <c r="F17" s="3">
        <v>0.1811</v>
      </c>
      <c r="G17" s="4">
        <v>0.03</v>
      </c>
      <c r="H17" s="2">
        <f t="shared" si="0"/>
        <v>0.429596907785754</v>
      </c>
    </row>
    <row r="18" spans="4:8">
      <c r="D18" s="1">
        <v>2022</v>
      </c>
      <c r="E18" s="3">
        <v>-0.0082</v>
      </c>
      <c r="F18" s="3">
        <v>0.2015</v>
      </c>
      <c r="G18" s="4">
        <v>0.03</v>
      </c>
      <c r="H18" s="2">
        <f t="shared" si="0"/>
        <v>-0.189578163771712</v>
      </c>
    </row>
    <row r="19" spans="4:8">
      <c r="D19" s="1">
        <v>2023</v>
      </c>
      <c r="E19" s="3">
        <v>0.0317</v>
      </c>
      <c r="F19" s="3">
        <v>0.1251</v>
      </c>
      <c r="G19" s="4">
        <v>0.03</v>
      </c>
      <c r="H19" s="2">
        <f t="shared" si="0"/>
        <v>0.0135891286970424</v>
      </c>
    </row>
    <row r="20" spans="4:8">
      <c r="D20" s="1">
        <v>2024</v>
      </c>
      <c r="E20" s="3">
        <v>0.1384</v>
      </c>
      <c r="F20" s="3">
        <v>0.1973</v>
      </c>
      <c r="G20" s="4">
        <v>0.03</v>
      </c>
      <c r="H20" s="2">
        <f t="shared" si="0"/>
        <v>0.549417131272174</v>
      </c>
    </row>
    <row r="21" spans="4:8">
      <c r="D21" s="1">
        <v>2025</v>
      </c>
      <c r="E21" s="3">
        <v>-0.0045</v>
      </c>
      <c r="F21" s="3">
        <v>0.123</v>
      </c>
      <c r="G21" s="4">
        <v>0.03</v>
      </c>
      <c r="H21" s="2">
        <f t="shared" si="0"/>
        <v>-0.280487804878049</v>
      </c>
    </row>
  </sheetData>
  <mergeCells count="3">
    <mergeCell ref="A2:A21"/>
    <mergeCell ref="B2:B21"/>
    <mergeCell ref="C2:C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F17" sqref="F17"/>
    </sheetView>
  </sheetViews>
  <sheetFormatPr defaultColWidth="9.02654867256637" defaultRowHeight="13.5" outlineLevelCol="7"/>
  <cols>
    <col min="1" max="1" width="9.24778761061947" style="1" customWidth="1"/>
    <col min="2" max="2" width="24.2743362831858" style="1" customWidth="1"/>
    <col min="3" max="3" width="15.6283185840708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1">
        <v>931233</v>
      </c>
      <c r="B2" s="1" t="s">
        <v>14</v>
      </c>
      <c r="C2" s="1" t="s">
        <v>15</v>
      </c>
      <c r="D2" s="1">
        <v>2015</v>
      </c>
      <c r="E2" s="3">
        <v>-0.116</v>
      </c>
      <c r="F2" s="3">
        <v>0.2993</v>
      </c>
      <c r="G2" s="4">
        <v>0.03</v>
      </c>
      <c r="H2" s="2">
        <f t="shared" ref="H2:H12" si="0">(E2-G2)/F2</f>
        <v>-0.48780487804878</v>
      </c>
    </row>
    <row r="3" spans="1:8">
      <c r="D3" s="1">
        <v>2016</v>
      </c>
      <c r="E3" s="3">
        <v>-0.0398</v>
      </c>
      <c r="F3" s="3">
        <v>0.2186</v>
      </c>
      <c r="G3" s="4">
        <v>0.03</v>
      </c>
      <c r="H3" s="2">
        <f t="shared" si="0"/>
        <v>-0.319304666056725</v>
      </c>
    </row>
    <row r="4" spans="1:8">
      <c r="D4" s="1">
        <v>2017</v>
      </c>
      <c r="E4" s="3">
        <v>0.1632</v>
      </c>
      <c r="F4" s="3">
        <v>0.1265</v>
      </c>
      <c r="G4" s="4">
        <v>0.03</v>
      </c>
      <c r="H4" s="2">
        <f t="shared" si="0"/>
        <v>1.05296442687747</v>
      </c>
    </row>
    <row r="5" spans="1:8">
      <c r="D5" s="1">
        <v>2018</v>
      </c>
      <c r="E5" s="3">
        <v>-0.0879</v>
      </c>
      <c r="F5" s="3">
        <v>0.204</v>
      </c>
      <c r="G5" s="4">
        <v>0.03</v>
      </c>
      <c r="H5" s="2">
        <f t="shared" si="0"/>
        <v>-0.577941176470588</v>
      </c>
    </row>
    <row r="6" spans="1:8">
      <c r="D6" s="1">
        <v>2019</v>
      </c>
      <c r="E6" s="3">
        <v>-0.0069</v>
      </c>
      <c r="F6" s="3">
        <v>0.1489</v>
      </c>
      <c r="G6" s="4">
        <v>0.03</v>
      </c>
      <c r="H6" s="2">
        <f t="shared" si="0"/>
        <v>-0.247817327065144</v>
      </c>
    </row>
    <row r="7" spans="1:8">
      <c r="D7" s="1">
        <v>2020</v>
      </c>
      <c r="E7" s="3">
        <v>-0.212</v>
      </c>
      <c r="F7" s="3">
        <v>0.2459</v>
      </c>
      <c r="G7" s="4">
        <v>0.03</v>
      </c>
      <c r="H7" s="2">
        <f t="shared" si="0"/>
        <v>-0.984139894265962</v>
      </c>
    </row>
    <row r="8" spans="1:8">
      <c r="D8" s="1">
        <v>2021</v>
      </c>
      <c r="E8" s="3">
        <v>0.1772</v>
      </c>
      <c r="F8" s="3">
        <v>0.1818</v>
      </c>
      <c r="G8" s="4">
        <v>0.03</v>
      </c>
      <c r="H8" s="2">
        <f t="shared" si="0"/>
        <v>0.80968096809681</v>
      </c>
    </row>
    <row r="9" spans="1:8">
      <c r="D9" s="1">
        <v>2022</v>
      </c>
      <c r="E9" s="3">
        <v>-0.1071</v>
      </c>
      <c r="F9" s="3">
        <v>0.2326</v>
      </c>
      <c r="G9" s="4">
        <v>0.03</v>
      </c>
      <c r="H9" s="2">
        <f t="shared" si="0"/>
        <v>-0.589423903697334</v>
      </c>
    </row>
    <row r="10" spans="1:8">
      <c r="D10" s="1">
        <v>2023</v>
      </c>
      <c r="E10" s="3">
        <v>-0.0202</v>
      </c>
      <c r="F10" s="3">
        <v>0.1801</v>
      </c>
      <c r="G10" s="4">
        <v>0.03</v>
      </c>
      <c r="H10" s="2">
        <f t="shared" si="0"/>
        <v>-0.278734036646308</v>
      </c>
    </row>
    <row r="11" spans="1:8">
      <c r="D11" s="1">
        <v>2024</v>
      </c>
      <c r="E11" s="3">
        <v>0.3089</v>
      </c>
      <c r="F11" s="3">
        <v>0.3056</v>
      </c>
      <c r="G11" s="4">
        <v>0.03</v>
      </c>
      <c r="H11" s="2">
        <f t="shared" si="0"/>
        <v>0.912630890052356</v>
      </c>
    </row>
    <row r="12" spans="1:8">
      <c r="D12" s="1">
        <v>2025</v>
      </c>
      <c r="E12" s="3">
        <v>0.1799</v>
      </c>
      <c r="F12" s="3">
        <v>0.1839</v>
      </c>
      <c r="G12" s="4">
        <v>0.03</v>
      </c>
      <c r="H12" s="2">
        <f t="shared" si="0"/>
        <v>0.815116911364872</v>
      </c>
    </row>
  </sheetData>
  <mergeCells count="3">
    <mergeCell ref="A2:A12"/>
    <mergeCell ref="B2:B12"/>
    <mergeCell ref="C2:C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K11" sqref="K11"/>
    </sheetView>
  </sheetViews>
  <sheetFormatPr defaultColWidth="9.02654867256637" defaultRowHeight="13.5" outlineLevelCol="7"/>
  <cols>
    <col min="1" max="1" width="9.24778761061947" style="1" customWidth="1"/>
    <col min="2" max="2" width="22.0796460176991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1" spans="1:8">
      <c r="A2" s="1" t="s">
        <v>16</v>
      </c>
      <c r="B2" s="1" t="s">
        <v>17</v>
      </c>
      <c r="C2" s="1" t="s">
        <v>18</v>
      </c>
      <c r="D2" s="1">
        <v>2006</v>
      </c>
      <c r="E2" s="3">
        <v>1.76</v>
      </c>
      <c r="F2" s="3">
        <v>0.2447</v>
      </c>
      <c r="G2" s="4">
        <v>0.03</v>
      </c>
      <c r="H2" s="2">
        <f>(E2-G2)/F2</f>
        <v>7.06988148753576</v>
      </c>
    </row>
    <row r="3" customFormat="1" spans="1:8">
      <c r="A3" s="1"/>
      <c r="B3" s="1"/>
      <c r="C3" s="1"/>
      <c r="D3" s="1">
        <v>2007</v>
      </c>
      <c r="E3" s="3">
        <v>1.8195</v>
      </c>
      <c r="F3" s="3">
        <v>0.3972</v>
      </c>
      <c r="G3" s="4">
        <v>0.03</v>
      </c>
      <c r="H3" s="2">
        <f t="shared" ref="H3:H21" si="0">(E3-G3)/F3</f>
        <v>4.50528700906344</v>
      </c>
    </row>
    <row r="4" customFormat="1" spans="1:8">
      <c r="A4" s="1"/>
      <c r="B4" s="1"/>
      <c r="C4" s="1"/>
      <c r="D4" s="1">
        <v>2008</v>
      </c>
      <c r="E4" s="3">
        <v>-0.4622</v>
      </c>
      <c r="F4" s="3">
        <v>0.5738</v>
      </c>
      <c r="G4" s="4">
        <v>0.03</v>
      </c>
      <c r="H4" s="2">
        <f t="shared" si="0"/>
        <v>-0.857790170791216</v>
      </c>
    </row>
    <row r="5" customFormat="1" spans="1:8">
      <c r="A5" s="1"/>
      <c r="B5" s="1"/>
      <c r="C5" s="1"/>
      <c r="D5" s="1">
        <v>2009</v>
      </c>
      <c r="E5" s="3">
        <v>1.2322</v>
      </c>
      <c r="F5" s="3">
        <v>0.3351</v>
      </c>
      <c r="G5" s="4">
        <v>0.03</v>
      </c>
      <c r="H5" s="2">
        <f t="shared" si="0"/>
        <v>3.58758579528499</v>
      </c>
    </row>
    <row r="6" customFormat="1" spans="1:8">
      <c r="A6" s="1"/>
      <c r="B6" s="1"/>
      <c r="C6" s="1"/>
      <c r="D6" s="1">
        <v>2010</v>
      </c>
      <c r="E6" s="3">
        <v>0.2837</v>
      </c>
      <c r="F6" s="3">
        <v>0.2647</v>
      </c>
      <c r="G6" s="4">
        <v>0.03</v>
      </c>
      <c r="H6" s="2">
        <f t="shared" si="0"/>
        <v>0.958443520967133</v>
      </c>
    </row>
    <row r="7" customFormat="1" spans="1:8">
      <c r="A7" s="1"/>
      <c r="B7" s="1"/>
      <c r="C7" s="1"/>
      <c r="D7" s="1">
        <v>2011</v>
      </c>
      <c r="E7" s="3">
        <v>-0.2286</v>
      </c>
      <c r="F7" s="3">
        <v>0.191</v>
      </c>
      <c r="G7" s="4">
        <v>0.03</v>
      </c>
      <c r="H7" s="2">
        <f t="shared" si="0"/>
        <v>-1.35392670157068</v>
      </c>
    </row>
    <row r="8" customFormat="1" spans="1:8">
      <c r="A8" s="1"/>
      <c r="B8" s="1"/>
      <c r="C8" s="1"/>
      <c r="D8" s="1">
        <v>2012</v>
      </c>
      <c r="E8" s="3">
        <v>-0.007</v>
      </c>
      <c r="F8" s="3">
        <v>0.2381</v>
      </c>
      <c r="G8" s="4">
        <v>0.03</v>
      </c>
      <c r="H8" s="2">
        <f t="shared" si="0"/>
        <v>-0.155396892062159</v>
      </c>
    </row>
    <row r="9" customFormat="1" spans="1:8">
      <c r="A9" s="1"/>
      <c r="B9" s="1"/>
      <c r="C9" s="1"/>
      <c r="D9" s="1">
        <v>2013</v>
      </c>
      <c r="E9" s="3">
        <v>0.0482</v>
      </c>
      <c r="F9" s="3">
        <v>0.2212</v>
      </c>
      <c r="G9" s="4">
        <v>0.03</v>
      </c>
      <c r="H9" s="2">
        <f t="shared" si="0"/>
        <v>0.0822784810126582</v>
      </c>
    </row>
    <row r="10" spans="1:8">
      <c r="D10" s="1">
        <v>2014</v>
      </c>
      <c r="E10" s="3">
        <v>0.3407</v>
      </c>
      <c r="F10" s="3">
        <v>0.189</v>
      </c>
      <c r="G10" s="4">
        <v>0.03</v>
      </c>
      <c r="H10" s="2">
        <f t="shared" si="0"/>
        <v>1.64391534391534</v>
      </c>
    </row>
    <row r="11" spans="1:8">
      <c r="D11" s="1">
        <v>2015</v>
      </c>
      <c r="E11" s="3">
        <v>0.2882</v>
      </c>
      <c r="F11" s="3">
        <v>0.4269</v>
      </c>
      <c r="G11" s="4">
        <v>0.03</v>
      </c>
      <c r="H11" s="2">
        <f t="shared" si="0"/>
        <v>0.60482548606231</v>
      </c>
    </row>
    <row r="12" spans="1:8">
      <c r="D12" s="1">
        <v>2016</v>
      </c>
      <c r="E12" s="3">
        <v>0.0668</v>
      </c>
      <c r="F12" s="3">
        <v>0.2399</v>
      </c>
      <c r="G12" s="4">
        <v>0.03</v>
      </c>
      <c r="H12" s="2">
        <f t="shared" si="0"/>
        <v>0.153397248853689</v>
      </c>
    </row>
    <row r="13" spans="1:8">
      <c r="D13" s="1">
        <v>2017</v>
      </c>
      <c r="E13" s="3">
        <v>0.3211</v>
      </c>
      <c r="F13" s="3">
        <v>0.1536</v>
      </c>
      <c r="G13" s="4">
        <v>0.03</v>
      </c>
      <c r="H13" s="2">
        <f t="shared" si="0"/>
        <v>1.89518229166667</v>
      </c>
    </row>
    <row r="14" spans="1:8">
      <c r="D14" s="1">
        <v>2018</v>
      </c>
      <c r="E14" s="3">
        <v>-0.1376</v>
      </c>
      <c r="F14" s="3">
        <v>0.2492</v>
      </c>
      <c r="G14" s="4">
        <v>0.03</v>
      </c>
      <c r="H14" s="2">
        <f t="shared" si="0"/>
        <v>-0.672552166934189</v>
      </c>
    </row>
    <row r="15" spans="1:8">
      <c r="D15" s="1">
        <v>2019</v>
      </c>
      <c r="E15" s="3">
        <v>0.5381</v>
      </c>
      <c r="F15" s="3">
        <v>0.2243</v>
      </c>
      <c r="G15" s="4">
        <v>0.03</v>
      </c>
      <c r="H15" s="2">
        <f t="shared" si="0"/>
        <v>2.2652697280428</v>
      </c>
    </row>
    <row r="16" spans="1:8">
      <c r="D16" s="1">
        <v>2020</v>
      </c>
      <c r="E16" s="3">
        <v>0.4617</v>
      </c>
      <c r="F16" s="3">
        <v>0.275</v>
      </c>
      <c r="G16" s="4">
        <v>0.03</v>
      </c>
      <c r="H16" s="2">
        <f t="shared" si="0"/>
        <v>1.56981818181818</v>
      </c>
    </row>
    <row r="17" spans="4:8">
      <c r="D17" s="1">
        <v>2021</v>
      </c>
      <c r="E17" s="3">
        <v>0.1112</v>
      </c>
      <c r="F17" s="3">
        <v>0.212</v>
      </c>
      <c r="G17" s="4">
        <v>0.03</v>
      </c>
      <c r="H17" s="2">
        <f t="shared" si="0"/>
        <v>0.383018867924528</v>
      </c>
    </row>
    <row r="18" spans="4:8">
      <c r="D18" s="1">
        <v>2022</v>
      </c>
      <c r="E18" s="3">
        <v>-0.0927</v>
      </c>
      <c r="F18" s="3">
        <v>0.2385</v>
      </c>
      <c r="G18" s="4">
        <v>0.03</v>
      </c>
      <c r="H18" s="2">
        <f t="shared" si="0"/>
        <v>-0.514465408805031</v>
      </c>
    </row>
    <row r="19" spans="4:8">
      <c r="D19" s="1">
        <v>2023</v>
      </c>
      <c r="E19" s="3">
        <v>-0.1562</v>
      </c>
      <c r="F19" s="3">
        <v>0.1396</v>
      </c>
      <c r="G19" s="4">
        <v>0.03</v>
      </c>
      <c r="H19" s="2">
        <f t="shared" si="0"/>
        <v>-1.33381088825215</v>
      </c>
    </row>
    <row r="20" spans="4:8">
      <c r="D20" s="1">
        <v>2024</v>
      </c>
      <c r="E20" s="3">
        <v>-0.0511</v>
      </c>
      <c r="F20" s="3">
        <v>0.2588</v>
      </c>
      <c r="G20" s="4">
        <v>0.03</v>
      </c>
      <c r="H20" s="2">
        <f t="shared" si="0"/>
        <v>-0.313369397217929</v>
      </c>
    </row>
    <row r="21" spans="4:8">
      <c r="D21" s="1">
        <v>2025</v>
      </c>
      <c r="E21" s="3">
        <v>0.0125</v>
      </c>
      <c r="F21" s="3">
        <v>0.1608</v>
      </c>
      <c r="G21" s="4">
        <v>0.03</v>
      </c>
      <c r="H21" s="2">
        <f t="shared" si="0"/>
        <v>-0.108830845771144</v>
      </c>
    </row>
  </sheetData>
  <mergeCells count="3">
    <mergeCell ref="A2:A21"/>
    <mergeCell ref="B2:B21"/>
    <mergeCell ref="C2:C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央企红利</vt:lpstr>
      <vt:lpstr>国企红利</vt:lpstr>
      <vt:lpstr>港股通央企红利</vt:lpstr>
      <vt:lpstr>消费红利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2026-02-18T15:38:05Z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