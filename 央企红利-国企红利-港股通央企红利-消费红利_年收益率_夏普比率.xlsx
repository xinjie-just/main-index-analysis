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 tabRatio="943" firstSheet="1" activeTab="3"/>
  </bookViews>
  <sheets>
    <sheet name="央企红利" sheetId="1" r:id="rId1"/>
    <sheet name="国企红利" sheetId="3" r:id="rId2"/>
    <sheet name="港股通央企红利" sheetId="8" r:id="rId3"/>
    <sheet name="消费红利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<sst xmlns="http://schemas.openxmlformats.org/spreadsheetml/2006/main" count="43" uniqueCount="19">
  <si>
    <t>指数代码</t>
  </si>
  <si>
    <t>指数中文全称</t>
  </si>
  <si>
    <t>指数中文简称</t>
  </si>
  <si>
    <t>年份</t>
  </si>
  <si>
    <t>本年收益率</t>
  </si>
  <si>
    <t>本年波动率</t>
  </si>
  <si>
    <t>无风险利率</t>
  </si>
  <si>
    <t>本年夏普比率</t>
  </si>
  <si>
    <t>000825</t>
  </si>
  <si>
    <t>中证中央企业红利指数</t>
  </si>
  <si>
    <t>央企红利</t>
  </si>
  <si>
    <t>000824</t>
  </si>
  <si>
    <t>中证国有企业红利指数</t>
  </si>
  <si>
    <t>国企红利</t>
  </si>
  <si>
    <t>中证港股通央企红利指数</t>
  </si>
  <si>
    <t>港股通央企红利</t>
  </si>
  <si>
    <t>H30094</t>
  </si>
  <si>
    <t>中证主要消费红利指数</t>
  </si>
  <si>
    <t>消费红利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</si>
</sst>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1">
    <font>
      <sz val="11"/>
      <color indexed="8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176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center" vertical="center"/>
    </xf>
    <xf numFmtId="9" fontId="0" fillId="0" borderId="0" xfId="0" applyNumberFormat="1" applyFont="1" applyAlignment="1">
      <alignment horizontal="left" vertical="center"/>
    </xf>
    <xf numFmtId="10" fontId="0" fillId="0" borderId="0" xfId="0" applyNumberFormat="1" applyFont="1" applyAlignment="1">
      <alignment horizontal="left" vertical="center"/>
    </xf>
    <xf numFmtId="0" fontId="0" fillId="0" borderId="0" xfId="0" applyFont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B2" sqref="B2:B18"/>
    </sheetView>
  </sheetViews>
  <sheetFormatPr defaultColWidth="9" defaultRowHeight="13.5" outlineLevelCol="7"/>
  <cols>
    <col min="1" max="1" width="9.24778761061947" style="1" customWidth="1"/>
    <col min="2" max="2" width="19.9557522123894" style="1" customWidth="1"/>
    <col min="3" max="3" width="13.4336283185841" style="1" customWidth="1"/>
    <col min="4" max="4" width="5.53097345132743" style="1" customWidth="1"/>
    <col min="5" max="7" width="11.3097345132743" style="1" customWidth="1"/>
    <col min="8" max="8" width="13.4336283185841" style="2" customWidth="1"/>
  </cols>
  <sheetData>
    <row r="1" customForma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>
      <c r="A2" s="6" t="s">
        <v>8</v>
      </c>
      <c r="B2" s="3" t="s">
        <v>9</v>
      </c>
      <c r="C2" s="3" t="s">
        <v>10</v>
      </c>
      <c r="D2" s="1">
        <v>2009</v>
      </c>
      <c r="E2" s="5"/>
      <c r="F2" s="5"/>
      <c r="G2" s="4">
        <v>0.03</v>
      </c>
      <c r="H2" s="2" t="e">
        <f t="shared" ref="H2:H18" si="0">(E2-G2)/F2</f>
        <v>#DIV/0!</v>
      </c>
    </row>
    <row r="3" spans="1:8">
      <c r="A3" s="3"/>
      <c r="B3" s="3"/>
      <c r="C3" s="3"/>
      <c r="D3" s="1">
        <v>2010</v>
      </c>
      <c r="E3" s="5"/>
      <c r="F3" s="5"/>
      <c r="G3" s="4">
        <v>0.03</v>
      </c>
      <c r="H3" s="2" t="e">
        <f t="shared" si="0"/>
        <v>#DIV/0!</v>
      </c>
    </row>
    <row r="4" spans="1:8">
      <c r="A4" s="3"/>
      <c r="B4" s="3"/>
      <c r="C4" s="3"/>
      <c r="D4" s="1">
        <v>2011</v>
      </c>
      <c r="E4" s="5"/>
      <c r="F4" s="5"/>
      <c r="G4" s="4">
        <v>0.03</v>
      </c>
      <c r="H4" s="2" t="e">
        <f t="shared" si="0"/>
        <v>#DIV/0!</v>
      </c>
    </row>
    <row r="5" spans="1:8">
      <c r="A5" s="3"/>
      <c r="B5" s="3"/>
      <c r="C5" s="3"/>
      <c r="D5" s="1">
        <v>2012</v>
      </c>
      <c r="E5" s="5"/>
      <c r="F5" s="5"/>
      <c r="G5" s="4">
        <v>0.03</v>
      </c>
      <c r="H5" s="2" t="e">
        <f t="shared" si="0"/>
        <v>#DIV/0!</v>
      </c>
    </row>
    <row r="6" spans="1:8">
      <c r="A6" s="3"/>
      <c r="B6" s="3"/>
      <c r="C6" s="3"/>
      <c r="D6" s="1">
        <v>2013</v>
      </c>
      <c r="E6" s="5"/>
      <c r="F6" s="5"/>
      <c r="G6" s="4">
        <v>0.03</v>
      </c>
      <c r="H6" s="2" t="e">
        <f t="shared" si="0"/>
        <v>#DIV/0!</v>
      </c>
    </row>
    <row r="7" spans="1:8">
      <c r="A7" s="3"/>
      <c r="B7" s="3"/>
      <c r="C7" s="3"/>
      <c r="D7" s="1">
        <v>2014</v>
      </c>
      <c r="E7" s="5"/>
      <c r="F7" s="5"/>
      <c r="G7" s="4">
        <v>0.03</v>
      </c>
      <c r="H7" s="2" t="e">
        <f t="shared" si="0"/>
        <v>#DIV/0!</v>
      </c>
    </row>
    <row r="8" spans="1:8">
      <c r="A8" s="3"/>
      <c r="B8" s="3"/>
      <c r="C8" s="3"/>
      <c r="D8" s="1">
        <v>2015</v>
      </c>
      <c r="E8" s="5"/>
      <c r="F8" s="5"/>
      <c r="G8" s="4">
        <v>0.03</v>
      </c>
      <c r="H8" s="2" t="e">
        <f t="shared" si="0"/>
        <v>#DIV/0!</v>
      </c>
    </row>
    <row r="9" spans="1:8">
      <c r="A9" s="3"/>
      <c r="B9" s="3"/>
      <c r="C9" s="3"/>
      <c r="D9" s="1">
        <v>2016</v>
      </c>
      <c r="E9" s="5"/>
      <c r="F9" s="5"/>
      <c r="G9" s="4">
        <v>0.03</v>
      </c>
      <c r="H9" s="2" t="e">
        <f t="shared" si="0"/>
        <v>#DIV/0!</v>
      </c>
    </row>
    <row r="10" spans="1:8">
      <c r="A10" s="3"/>
      <c r="B10" s="3"/>
      <c r="C10" s="3"/>
      <c r="D10" s="1">
        <v>2017</v>
      </c>
      <c r="E10" s="5"/>
      <c r="F10" s="5"/>
      <c r="G10" s="4">
        <v>0.03</v>
      </c>
      <c r="H10" s="2" t="e">
        <f t="shared" si="0"/>
        <v>#DIV/0!</v>
      </c>
    </row>
    <row r="11" spans="1:8">
      <c r="A11" s="3"/>
      <c r="B11" s="3"/>
      <c r="C11" s="3"/>
      <c r="D11" s="1">
        <v>2018</v>
      </c>
      <c r="E11" s="5"/>
      <c r="F11" s="5"/>
      <c r="G11" s="4">
        <v>0.03</v>
      </c>
      <c r="H11" s="2" t="e">
        <f t="shared" si="0"/>
        <v>#DIV/0!</v>
      </c>
    </row>
    <row r="12" spans="1:8">
      <c r="A12" s="3"/>
      <c r="B12" s="3"/>
      <c r="C12" s="3"/>
      <c r="D12" s="1">
        <v>2019</v>
      </c>
      <c r="E12" s="5"/>
      <c r="F12" s="5"/>
      <c r="G12" s="4">
        <v>0.03</v>
      </c>
      <c r="H12" s="2" t="e">
        <f t="shared" si="0"/>
        <v>#DIV/0!</v>
      </c>
    </row>
    <row r="13" spans="1:8">
      <c r="A13" s="3"/>
      <c r="B13" s="3"/>
      <c r="C13" s="3"/>
      <c r="D13" s="1">
        <v>2020</v>
      </c>
      <c r="E13" s="5"/>
      <c r="F13" s="5"/>
      <c r="G13" s="4">
        <v>0.03</v>
      </c>
      <c r="H13" s="2" t="e">
        <f t="shared" si="0"/>
        <v>#DIV/0!</v>
      </c>
    </row>
    <row r="14" spans="1:8">
      <c r="A14" s="3"/>
      <c r="B14" s="3"/>
      <c r="C14" s="3"/>
      <c r="D14" s="1">
        <v>2021</v>
      </c>
      <c r="E14" s="5"/>
      <c r="F14" s="5"/>
      <c r="G14" s="4">
        <v>0.03</v>
      </c>
      <c r="H14" s="2" t="e">
        <f t="shared" si="0"/>
        <v>#DIV/0!</v>
      </c>
    </row>
    <row r="15" spans="1:8">
      <c r="A15" s="3"/>
      <c r="B15" s="3"/>
      <c r="C15" s="3"/>
      <c r="D15" s="1">
        <v>2022</v>
      </c>
      <c r="E15" s="5"/>
      <c r="F15" s="5"/>
      <c r="G15" s="4">
        <v>0.03</v>
      </c>
      <c r="H15" s="2" t="e">
        <f t="shared" si="0"/>
        <v>#DIV/0!</v>
      </c>
    </row>
    <row r="16" spans="1:8">
      <c r="A16" s="3"/>
      <c r="B16" s="3"/>
      <c r="C16" s="3"/>
      <c r="D16" s="1">
        <v>2023</v>
      </c>
      <c r="E16" s="5"/>
      <c r="F16" s="5"/>
      <c r="G16" s="4">
        <v>0.03</v>
      </c>
      <c r="H16" s="2" t="e">
        <f t="shared" si="0"/>
        <v>#DIV/0!</v>
      </c>
    </row>
    <row r="17" spans="1:8">
      <c r="A17" s="3"/>
      <c r="B17" s="3"/>
      <c r="C17" s="3"/>
      <c r="D17" s="1">
        <v>2024</v>
      </c>
      <c r="E17" s="5"/>
      <c r="F17" s="5"/>
      <c r="G17" s="4">
        <v>0.03</v>
      </c>
      <c r="H17" s="2" t="e">
        <f t="shared" si="0"/>
        <v>#DIV/0!</v>
      </c>
    </row>
    <row r="18" spans="1:8">
      <c r="A18" s="3"/>
      <c r="B18" s="3"/>
      <c r="C18" s="3"/>
      <c r="D18" s="1">
        <v>2025</v>
      </c>
      <c r="E18" s="5"/>
      <c r="F18" s="5"/>
      <c r="G18" s="4">
        <v>0.03</v>
      </c>
      <c r="H18" s="2" t="e">
        <f t="shared" si="0"/>
        <v>#DIV/0!</v>
      </c>
    </row>
  </sheetData>
  <mergeCells count="3">
    <mergeCell ref="A2:A18"/>
    <mergeCell ref="B2:B18"/>
    <mergeCell ref="C2:C18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A2" sqref="A2:A17"/>
    </sheetView>
  </sheetViews>
  <sheetFormatPr defaultColWidth="9.02654867256637" defaultRowHeight="13.5" outlineLevelCol="7"/>
  <cols>
    <col min="1" max="1" width="9.24778761061947" style="1" customWidth="1"/>
    <col min="2" max="2" width="23.283185840708" style="1" customWidth="1"/>
    <col min="3" max="3" width="13.4336283185841" style="1" customWidth="1"/>
    <col min="4" max="4" width="5.53097345132743" style="1" customWidth="1"/>
    <col min="5" max="7" width="11.3097345132743" style="1" customWidth="1"/>
    <col min="8" max="8" width="13.4336283185841" style="2" customWidth="1"/>
  </cols>
  <sheetData>
    <row r="1" customForma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>
      <c r="A2" s="6" t="s">
        <v>11</v>
      </c>
      <c r="B2" s="3" t="s">
        <v>12</v>
      </c>
      <c r="C2" s="3" t="s">
        <v>13</v>
      </c>
      <c r="D2" s="1">
        <v>2010</v>
      </c>
      <c r="E2" s="5">
        <v>-0.0611</v>
      </c>
      <c r="F2" s="5">
        <v>0.2198</v>
      </c>
      <c r="G2" s="4">
        <v>0.03</v>
      </c>
      <c r="H2" s="2">
        <f t="shared" ref="H2:H17" si="0">(E2-G2)/F2</f>
        <v>-0.414467697907188</v>
      </c>
    </row>
    <row r="3" spans="1:8">
      <c r="A3" s="3"/>
      <c r="B3" s="3"/>
      <c r="C3" s="3"/>
      <c r="D3" s="1">
        <v>2011</v>
      </c>
      <c r="E3" s="5">
        <v>-0.1854</v>
      </c>
      <c r="F3" s="5">
        <v>0.1725</v>
      </c>
      <c r="G3" s="4">
        <v>0.03</v>
      </c>
      <c r="H3" s="2">
        <f t="shared" si="0"/>
        <v>-1.24869565217391</v>
      </c>
    </row>
    <row r="4" spans="1:8">
      <c r="A4" s="3"/>
      <c r="B4" s="3"/>
      <c r="C4" s="3"/>
      <c r="D4" s="1">
        <v>2012</v>
      </c>
      <c r="E4" s="5">
        <v>0.0311</v>
      </c>
      <c r="F4" s="5">
        <v>0.1651</v>
      </c>
      <c r="G4" s="4">
        <v>0.03</v>
      </c>
      <c r="H4" s="2">
        <f t="shared" si="0"/>
        <v>0.00666262870987281</v>
      </c>
    </row>
    <row r="5" spans="1:8">
      <c r="A5" s="3"/>
      <c r="B5" s="3"/>
      <c r="C5" s="3"/>
      <c r="D5" s="1">
        <v>2013</v>
      </c>
      <c r="E5" s="5">
        <v>0.0377</v>
      </c>
      <c r="F5" s="5">
        <v>0.1808</v>
      </c>
      <c r="G5" s="4">
        <v>0.03</v>
      </c>
      <c r="H5" s="2">
        <f t="shared" si="0"/>
        <v>0.0425884955752212</v>
      </c>
    </row>
    <row r="6" spans="1:8">
      <c r="A6" s="3"/>
      <c r="B6" s="3"/>
      <c r="C6" s="3"/>
      <c r="D6" s="1">
        <v>2014</v>
      </c>
      <c r="E6" s="5">
        <v>0.6661</v>
      </c>
      <c r="F6" s="5">
        <v>0.1794</v>
      </c>
      <c r="G6" s="4">
        <v>0.03</v>
      </c>
      <c r="H6" s="2">
        <f t="shared" si="0"/>
        <v>3.54570791527313</v>
      </c>
    </row>
    <row r="7" spans="1:8">
      <c r="A7" s="3"/>
      <c r="B7" s="3"/>
      <c r="C7" s="3"/>
      <c r="D7" s="1">
        <v>2015</v>
      </c>
      <c r="E7" s="5">
        <v>0.2597</v>
      </c>
      <c r="F7" s="5">
        <v>0.4025</v>
      </c>
      <c r="G7" s="4">
        <v>0.03</v>
      </c>
      <c r="H7" s="2">
        <f t="shared" si="0"/>
        <v>0.570683229813664</v>
      </c>
    </row>
    <row r="8" spans="1:8">
      <c r="A8" s="3"/>
      <c r="B8" s="3"/>
      <c r="C8" s="3"/>
      <c r="D8" s="1">
        <v>2016</v>
      </c>
      <c r="E8" s="5">
        <v>-0.0142</v>
      </c>
      <c r="F8" s="5">
        <v>0.2006</v>
      </c>
      <c r="G8" s="4">
        <v>0.03</v>
      </c>
      <c r="H8" s="2">
        <f t="shared" si="0"/>
        <v>-0.220338983050847</v>
      </c>
    </row>
    <row r="9" spans="1:8">
      <c r="A9" s="3"/>
      <c r="B9" s="3"/>
      <c r="C9" s="3"/>
      <c r="D9" s="1">
        <v>2017</v>
      </c>
      <c r="E9" s="5">
        <v>0.1203</v>
      </c>
      <c r="F9" s="5">
        <v>0.0751</v>
      </c>
      <c r="G9" s="4">
        <v>0.03</v>
      </c>
      <c r="H9" s="2">
        <f t="shared" si="0"/>
        <v>1.20239680426099</v>
      </c>
    </row>
    <row r="10" spans="1:8">
      <c r="A10" s="3"/>
      <c r="B10" s="3"/>
      <c r="C10" s="3"/>
      <c r="D10" s="1">
        <v>2018</v>
      </c>
      <c r="E10" s="5">
        <v>-0.1699</v>
      </c>
      <c r="F10" s="5">
        <v>0.1711</v>
      </c>
      <c r="G10" s="4">
        <v>0.03</v>
      </c>
      <c r="H10" s="2">
        <f t="shared" si="0"/>
        <v>-1.16832261835184</v>
      </c>
    </row>
    <row r="11" spans="1:8">
      <c r="A11" s="3"/>
      <c r="B11" s="3"/>
      <c r="C11" s="3"/>
      <c r="D11" s="1">
        <v>2019</v>
      </c>
      <c r="E11" s="5">
        <v>0.1243</v>
      </c>
      <c r="F11" s="5">
        <v>0.161</v>
      </c>
      <c r="G11" s="4">
        <v>0.03</v>
      </c>
      <c r="H11" s="2">
        <f t="shared" si="0"/>
        <v>0.585714285714286</v>
      </c>
    </row>
    <row r="12" spans="1:8">
      <c r="A12" s="3"/>
      <c r="B12" s="3"/>
      <c r="C12" s="3"/>
      <c r="D12" s="1">
        <v>2020</v>
      </c>
      <c r="E12" s="5">
        <v>-0.0198</v>
      </c>
      <c r="F12" s="5">
        <v>0.1889</v>
      </c>
      <c r="G12" s="4">
        <v>0.03</v>
      </c>
      <c r="H12" s="2">
        <f t="shared" si="0"/>
        <v>-0.26363155108523</v>
      </c>
    </row>
    <row r="13" spans="1:8">
      <c r="A13" s="3"/>
      <c r="B13" s="3"/>
      <c r="C13" s="3"/>
      <c r="D13" s="1">
        <v>2021</v>
      </c>
      <c r="E13" s="5">
        <v>0.139</v>
      </c>
      <c r="F13" s="5">
        <v>0.1337</v>
      </c>
      <c r="G13" s="4">
        <v>0.03</v>
      </c>
      <c r="H13" s="2">
        <f t="shared" si="0"/>
        <v>0.81525804038893</v>
      </c>
    </row>
    <row r="14" spans="1:8">
      <c r="A14" s="3"/>
      <c r="B14" s="3"/>
      <c r="C14" s="3"/>
      <c r="D14" s="1">
        <v>2022</v>
      </c>
      <c r="E14" s="5">
        <v>-0.0392</v>
      </c>
      <c r="F14" s="5">
        <v>0.1729</v>
      </c>
      <c r="G14" s="4">
        <v>0.03</v>
      </c>
      <c r="H14" s="2">
        <f t="shared" si="0"/>
        <v>-0.400231347599769</v>
      </c>
    </row>
    <row r="15" spans="1:8">
      <c r="A15" s="3"/>
      <c r="B15" s="3"/>
      <c r="C15" s="3"/>
      <c r="D15" s="1">
        <v>2023</v>
      </c>
      <c r="E15" s="5">
        <v>0.0874</v>
      </c>
      <c r="F15" s="5">
        <v>0.1134</v>
      </c>
      <c r="G15" s="4">
        <v>0.03</v>
      </c>
      <c r="H15" s="2">
        <f t="shared" si="0"/>
        <v>0.506172839506173</v>
      </c>
    </row>
    <row r="16" spans="1:8">
      <c r="A16" s="3"/>
      <c r="B16" s="3"/>
      <c r="C16" s="3"/>
      <c r="D16" s="1">
        <v>2024</v>
      </c>
      <c r="E16" s="5">
        <v>0.127</v>
      </c>
      <c r="F16" s="5">
        <v>0.1891</v>
      </c>
      <c r="G16" s="4">
        <v>0.03</v>
      </c>
      <c r="H16" s="2">
        <f t="shared" si="0"/>
        <v>0.512956107879429</v>
      </c>
    </row>
    <row r="17" spans="1:8">
      <c r="A17" s="3"/>
      <c r="B17" s="3"/>
      <c r="C17" s="3"/>
      <c r="D17" s="1">
        <v>2025</v>
      </c>
      <c r="E17" s="5">
        <v>-0.0071</v>
      </c>
      <c r="F17" s="5">
        <v>0.1131</v>
      </c>
      <c r="G17" s="4">
        <v>0.03</v>
      </c>
      <c r="H17" s="2">
        <f t="shared" si="0"/>
        <v>-0.328028293545535</v>
      </c>
    </row>
  </sheetData>
  <mergeCells count="3">
    <mergeCell ref="A2:A17"/>
    <mergeCell ref="B2:B17"/>
    <mergeCell ref="C2:C1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B2" sqref="B2:B12"/>
    </sheetView>
  </sheetViews>
  <sheetFormatPr defaultColWidth="9.02654867256637" defaultRowHeight="13.5" outlineLevelCol="7"/>
  <cols>
    <col min="1" max="1" width="9.24778761061947" style="1" customWidth="1"/>
    <col min="2" max="2" width="23.283185840708" style="1" customWidth="1"/>
    <col min="3" max="3" width="13.4336283185841" style="1" customWidth="1"/>
    <col min="4" max="4" width="5.53097345132743" style="1" customWidth="1"/>
    <col min="5" max="7" width="11.3097345132743" style="1" customWidth="1"/>
    <col min="8" max="8" width="13.4336283185841" style="2" customWidth="1"/>
  </cols>
  <sheetData>
    <row r="1" customForma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>
      <c r="A2" s="3">
        <v>931233</v>
      </c>
      <c r="B2" s="3" t="s">
        <v>14</v>
      </c>
      <c r="C2" s="3" t="s">
        <v>15</v>
      </c>
      <c r="D2" s="1">
        <v>2015</v>
      </c>
      <c r="E2" s="5"/>
      <c r="F2" s="5"/>
      <c r="G2" s="4">
        <v>0.03</v>
      </c>
      <c r="H2" s="2" t="e">
        <f t="shared" ref="H2:H12" si="0">(E2-G2)/F2</f>
        <v>#DIV/0!</v>
      </c>
    </row>
    <row r="3" spans="1:8">
      <c r="A3" s="3"/>
      <c r="B3" s="3"/>
      <c r="C3" s="3"/>
      <c r="D3" s="1">
        <v>2016</v>
      </c>
      <c r="E3" s="5"/>
      <c r="F3" s="5"/>
      <c r="G3" s="4">
        <v>0.03</v>
      </c>
      <c r="H3" s="2" t="e">
        <f t="shared" si="0"/>
        <v>#DIV/0!</v>
      </c>
    </row>
    <row r="4" spans="1:8">
      <c r="A4" s="3"/>
      <c r="B4" s="3"/>
      <c r="C4" s="3"/>
      <c r="D4" s="1">
        <v>2017</v>
      </c>
      <c r="E4" s="5"/>
      <c r="F4" s="5"/>
      <c r="G4" s="4">
        <v>0.03</v>
      </c>
      <c r="H4" s="2" t="e">
        <f t="shared" si="0"/>
        <v>#DIV/0!</v>
      </c>
    </row>
    <row r="5" spans="1:8">
      <c r="A5" s="3"/>
      <c r="B5" s="3"/>
      <c r="C5" s="3"/>
      <c r="D5" s="1">
        <v>2018</v>
      </c>
      <c r="E5" s="5"/>
      <c r="F5" s="5"/>
      <c r="G5" s="4">
        <v>0.03</v>
      </c>
      <c r="H5" s="2" t="e">
        <f t="shared" si="0"/>
        <v>#DIV/0!</v>
      </c>
    </row>
    <row r="6" spans="1:8">
      <c r="A6" s="3"/>
      <c r="B6" s="3"/>
      <c r="C6" s="3"/>
      <c r="D6" s="1">
        <v>2019</v>
      </c>
      <c r="E6" s="5"/>
      <c r="F6" s="5"/>
      <c r="G6" s="4">
        <v>0.03</v>
      </c>
      <c r="H6" s="2" t="e">
        <f t="shared" si="0"/>
        <v>#DIV/0!</v>
      </c>
    </row>
    <row r="7" spans="1:8">
      <c r="A7" s="3"/>
      <c r="B7" s="3"/>
      <c r="C7" s="3"/>
      <c r="D7" s="1">
        <v>2020</v>
      </c>
      <c r="E7" s="5"/>
      <c r="F7" s="5"/>
      <c r="G7" s="4">
        <v>0.03</v>
      </c>
      <c r="H7" s="2" t="e">
        <f t="shared" si="0"/>
        <v>#DIV/0!</v>
      </c>
    </row>
    <row r="8" spans="1:8">
      <c r="A8" s="3"/>
      <c r="B8" s="3"/>
      <c r="C8" s="3"/>
      <c r="D8" s="1">
        <v>2021</v>
      </c>
      <c r="E8" s="5"/>
      <c r="F8" s="5"/>
      <c r="G8" s="4">
        <v>0.03</v>
      </c>
      <c r="H8" s="2" t="e">
        <f t="shared" si="0"/>
        <v>#DIV/0!</v>
      </c>
    </row>
    <row r="9" spans="1:8">
      <c r="A9" s="3"/>
      <c r="B9" s="3"/>
      <c r="C9" s="3"/>
      <c r="D9" s="1">
        <v>2022</v>
      </c>
      <c r="E9" s="5"/>
      <c r="F9" s="5"/>
      <c r="G9" s="4">
        <v>0.03</v>
      </c>
      <c r="H9" s="2" t="e">
        <f t="shared" si="0"/>
        <v>#DIV/0!</v>
      </c>
    </row>
    <row r="10" spans="1:8">
      <c r="A10" s="3"/>
      <c r="B10" s="3"/>
      <c r="C10" s="3"/>
      <c r="D10" s="1">
        <v>2023</v>
      </c>
      <c r="E10" s="5"/>
      <c r="F10" s="5"/>
      <c r="G10" s="4">
        <v>0.03</v>
      </c>
      <c r="H10" s="2" t="e">
        <f t="shared" si="0"/>
        <v>#DIV/0!</v>
      </c>
    </row>
    <row r="11" spans="1:8">
      <c r="A11" s="3"/>
      <c r="B11" s="3"/>
      <c r="C11" s="3"/>
      <c r="D11" s="1">
        <v>2024</v>
      </c>
      <c r="E11" s="5"/>
      <c r="F11" s="5"/>
      <c r="G11" s="4">
        <v>0.03</v>
      </c>
      <c r="H11" s="2" t="e">
        <f t="shared" si="0"/>
        <v>#DIV/0!</v>
      </c>
    </row>
    <row r="12" spans="1:8">
      <c r="A12" s="3"/>
      <c r="B12" s="3"/>
      <c r="C12" s="3"/>
      <c r="D12" s="1">
        <v>2025</v>
      </c>
      <c r="E12" s="5"/>
      <c r="F12" s="5"/>
      <c r="G12" s="4">
        <v>0.03</v>
      </c>
      <c r="H12" s="2" t="e">
        <f t="shared" si="0"/>
        <v>#DIV/0!</v>
      </c>
    </row>
  </sheetData>
  <mergeCells count="3">
    <mergeCell ref="A2:A12"/>
    <mergeCell ref="B2:B12"/>
    <mergeCell ref="C2:C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tabSelected="1" workbookViewId="0">
      <selection activeCell="J18" sqref="J18"/>
    </sheetView>
  </sheetViews>
  <sheetFormatPr defaultColWidth="9.02654867256637" defaultRowHeight="13.5" outlineLevelCol="7"/>
  <cols>
    <col min="1" max="1" width="9.24778761061947" style="1" customWidth="1"/>
    <col min="2" max="2" width="23.283185840708" style="1" customWidth="1"/>
    <col min="3" max="3" width="13.4336283185841" style="1" customWidth="1"/>
    <col min="4" max="4" width="5.53097345132743" style="1" customWidth="1"/>
    <col min="5" max="7" width="11.3097345132743" style="1" customWidth="1"/>
    <col min="8" max="8" width="13.4336283185841" style="2" customWidth="1"/>
  </cols>
  <sheetData>
    <row r="1" customForma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customFormat="1" spans="1:8">
      <c r="A2" s="3" t="s">
        <v>16</v>
      </c>
      <c r="B2" s="3" t="s">
        <v>17</v>
      </c>
      <c r="C2" s="3" t="s">
        <v>18</v>
      </c>
      <c r="D2" s="1">
        <v>2006</v>
      </c>
      <c r="E2" s="1"/>
      <c r="F2" s="1"/>
      <c r="G2" s="4">
        <v>0.03</v>
      </c>
      <c r="H2" s="2"/>
    </row>
    <row r="3" customFormat="1" spans="1:8">
      <c r="A3" s="3"/>
      <c r="B3" s="3"/>
      <c r="C3" s="3"/>
      <c r="D3" s="1">
        <v>2007</v>
      </c>
      <c r="E3" s="1"/>
      <c r="F3" s="1"/>
      <c r="G3" s="4">
        <v>0.03</v>
      </c>
      <c r="H3" s="2"/>
    </row>
    <row r="4" customFormat="1" spans="1:8">
      <c r="A4" s="3"/>
      <c r="B4" s="3"/>
      <c r="C4" s="3"/>
      <c r="D4" s="1">
        <v>2008</v>
      </c>
      <c r="E4" s="1"/>
      <c r="F4" s="1"/>
      <c r="G4" s="4">
        <v>0.03</v>
      </c>
      <c r="H4" s="2"/>
    </row>
    <row r="5" customFormat="1" spans="1:8">
      <c r="A5" s="3"/>
      <c r="B5" s="3"/>
      <c r="C5" s="3"/>
      <c r="D5" s="1">
        <v>2009</v>
      </c>
      <c r="E5" s="1"/>
      <c r="F5" s="1"/>
      <c r="G5" s="4">
        <v>0.03</v>
      </c>
      <c r="H5" s="2"/>
    </row>
    <row r="6" customFormat="1" spans="1:8">
      <c r="A6" s="3"/>
      <c r="B6" s="3"/>
      <c r="C6" s="3"/>
      <c r="D6" s="1">
        <v>2010</v>
      </c>
      <c r="E6" s="1"/>
      <c r="F6" s="1"/>
      <c r="G6" s="4">
        <v>0.03</v>
      </c>
      <c r="H6" s="2"/>
    </row>
    <row r="7" customFormat="1" spans="1:8">
      <c r="A7" s="3"/>
      <c r="B7" s="3"/>
      <c r="C7" s="3"/>
      <c r="D7" s="1">
        <v>2011</v>
      </c>
      <c r="E7" s="1"/>
      <c r="F7" s="1"/>
      <c r="G7" s="4">
        <v>0.03</v>
      </c>
      <c r="H7" s="2"/>
    </row>
    <row r="8" customFormat="1" spans="1:8">
      <c r="A8" s="3"/>
      <c r="B8" s="3"/>
      <c r="C8" s="3"/>
      <c r="D8" s="1">
        <v>2012</v>
      </c>
      <c r="E8" s="1"/>
      <c r="F8" s="1"/>
      <c r="G8" s="4">
        <v>0.03</v>
      </c>
      <c r="H8" s="2"/>
    </row>
    <row r="9" customFormat="1" spans="1:8">
      <c r="A9" s="3"/>
      <c r="B9" s="3"/>
      <c r="C9" s="3"/>
      <c r="D9" s="1">
        <v>2013</v>
      </c>
      <c r="E9" s="1"/>
      <c r="F9" s="1"/>
      <c r="G9" s="4">
        <v>0.03</v>
      </c>
      <c r="H9" s="2"/>
    </row>
    <row r="10" spans="1:8">
      <c r="A10" s="3"/>
      <c r="B10" s="3"/>
      <c r="C10" s="3"/>
      <c r="D10" s="1">
        <v>2014</v>
      </c>
      <c r="E10" s="5"/>
      <c r="F10" s="5"/>
      <c r="G10" s="4">
        <v>0.03</v>
      </c>
    </row>
    <row r="11" spans="1:8">
      <c r="A11" s="3"/>
      <c r="B11" s="3"/>
      <c r="C11" s="3"/>
      <c r="D11" s="1">
        <v>2015</v>
      </c>
      <c r="E11" s="5"/>
      <c r="F11" s="5"/>
      <c r="G11" s="4">
        <v>0.03</v>
      </c>
    </row>
    <row r="12" spans="1:8">
      <c r="A12" s="3"/>
      <c r="B12" s="3"/>
      <c r="C12" s="3"/>
      <c r="D12" s="1">
        <v>2016</v>
      </c>
      <c r="E12" s="5"/>
      <c r="F12" s="5"/>
      <c r="G12" s="4">
        <v>0.03</v>
      </c>
    </row>
    <row r="13" spans="1:8">
      <c r="A13" s="3"/>
      <c r="B13" s="3"/>
      <c r="C13" s="3"/>
      <c r="D13" s="1">
        <v>2017</v>
      </c>
      <c r="E13" s="5"/>
      <c r="F13" s="5"/>
      <c r="G13" s="4">
        <v>0.03</v>
      </c>
    </row>
    <row r="14" spans="1:8">
      <c r="A14" s="3"/>
      <c r="B14" s="3"/>
      <c r="C14" s="3"/>
      <c r="D14" s="1">
        <v>2018</v>
      </c>
      <c r="E14" s="5"/>
      <c r="F14" s="5"/>
      <c r="G14" s="4">
        <v>0.03</v>
      </c>
    </row>
    <row r="15" spans="1:8">
      <c r="A15" s="3"/>
      <c r="B15" s="3"/>
      <c r="C15" s="3"/>
      <c r="D15" s="1">
        <v>2019</v>
      </c>
      <c r="E15" s="5"/>
      <c r="F15" s="5"/>
      <c r="G15" s="4">
        <v>0.03</v>
      </c>
    </row>
    <row r="16" spans="1:8">
      <c r="A16" s="3"/>
      <c r="B16" s="3"/>
      <c r="C16" s="3"/>
      <c r="D16" s="1">
        <v>2020</v>
      </c>
      <c r="E16" s="5"/>
      <c r="F16" s="5"/>
      <c r="G16" s="4">
        <v>0.03</v>
      </c>
    </row>
    <row r="17" spans="1:7">
      <c r="A17" s="3"/>
      <c r="B17" s="3"/>
      <c r="C17" s="3"/>
      <c r="D17" s="1">
        <v>2021</v>
      </c>
      <c r="E17" s="5"/>
      <c r="F17" s="5"/>
      <c r="G17" s="4">
        <v>0.03</v>
      </c>
    </row>
    <row r="18" spans="1:7">
      <c r="A18" s="3"/>
      <c r="B18" s="3"/>
      <c r="C18" s="3"/>
      <c r="D18" s="1">
        <v>2022</v>
      </c>
      <c r="E18" s="5"/>
      <c r="F18" s="5"/>
      <c r="G18" s="4">
        <v>0.03</v>
      </c>
    </row>
    <row r="19" spans="1:7">
      <c r="A19" s="3"/>
      <c r="B19" s="3"/>
      <c r="C19" s="3"/>
      <c r="D19" s="1">
        <v>2023</v>
      </c>
      <c r="E19" s="5"/>
      <c r="F19" s="5"/>
      <c r="G19" s="4">
        <v>0.03</v>
      </c>
    </row>
    <row r="20" spans="1:7">
      <c r="A20" s="3"/>
      <c r="B20" s="3"/>
      <c r="C20" s="3"/>
      <c r="D20" s="1">
        <v>2024</v>
      </c>
      <c r="E20" s="5"/>
      <c r="F20" s="5"/>
      <c r="G20" s="4">
        <v>0.03</v>
      </c>
    </row>
    <row r="21" spans="1:7">
      <c r="A21" s="3"/>
      <c r="B21" s="3"/>
      <c r="C21" s="3"/>
      <c r="D21" s="1">
        <v>2025</v>
      </c>
      <c r="E21" s="5"/>
      <c r="F21" s="5"/>
      <c r="G21" s="4">
        <v>0.03</v>
      </c>
    </row>
  </sheetData>
  <mergeCells count="3">
    <mergeCell ref="A2:A21"/>
    <mergeCell ref="B2:B21"/>
    <mergeCell ref="C2:C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央企红利</vt:lpstr>
      <vt:lpstr>国企红利</vt:lpstr>
      <vt:lpstr>港股通央企红利</vt:lpstr>
      <vt:lpstr>消费红利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李芯杰</cp:lastModifiedBy>
  <dcterms:created xsi:type="dcterms:W3CDTF">2026-01-02T11:30:00Z</dcterms:created>
  <dcterms:modified xsi:type="dcterms:W3CDTF">2026-02-14T09:29:30Z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5A9B0EB948E7464685E7AED5BC35A3BE_12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